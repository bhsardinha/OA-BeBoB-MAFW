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inel" sheetId="1" state="visible" r:id="rId1"/>
    <sheet name="Resumo" sheetId="2" state="visible" r:id="rId2"/>
    <sheet name="Itens" sheetId="3" state="visible" r:id="rId3"/>
    <sheet name="Build" sheetId="4" state="visible" r:id="rId4"/>
    <sheet name="Flags_auditoria" sheetId="5" state="visible" r:id="rId5"/>
    <sheet name="Legenda" sheetId="6" state="visible" r:id="rId6"/>
  </sheets>
  <definedNames>
    <definedName name="_xlnm._FilterDatabase" localSheetId="2" hidden="1">'Itens'!$A$1:$O$132</definedName>
    <definedName name="_xlnm._FilterDatabase" localSheetId="4" hidden="1">'Flags_auditoria'!$A$1:$H$127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i val="1"/>
      <sz val="8"/>
    </font>
    <font>
      <name val="Arial"/>
      <charset val="1"/>
      <family val="0"/>
      <b val="1"/>
      <sz val="12"/>
    </font>
    <font>
      <name val="Arial"/>
      <charset val="1"/>
      <family val="0"/>
      <color rgb="FF0000F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1F3864"/>
      <sz val="14"/>
    </font>
    <font>
      <name val="Arial"/>
      <i val="1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6" fillId="4" borderId="0" applyAlignment="1" pivotButton="0" quotePrefix="0" xfId="0">
      <alignment vertical="top" wrapText="1"/>
    </xf>
    <xf numFmtId="0" fontId="16" fillId="5" borderId="2" applyAlignment="1" pivotButton="0" quotePrefix="0" xfId="0">
      <alignment vertical="top" wrapText="1"/>
    </xf>
    <xf numFmtId="1" fontId="16" fillId="0" borderId="2" applyAlignment="1" pivotButton="0" quotePrefix="0" xfId="0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9" fontId="17" fillId="0" borderId="2" applyAlignment="1" pivotButton="0" quotePrefix="0" xfId="0">
      <alignment horizontal="center" vertical="top" wrapText="1"/>
    </xf>
    <xf numFmtId="0" fontId="18" fillId="0" borderId="2" applyAlignment="1" pivotButton="0" quotePrefix="0" xfId="0">
      <alignment vertical="top" wrapText="1"/>
    </xf>
    <xf numFmtId="0" fontId="0" fillId="0" borderId="9" pivotButton="0" quotePrefix="0" xfId="0"/>
    <xf numFmtId="9" fontId="16" fillId="0" borderId="2" applyAlignment="1" pivotButton="0" quotePrefix="0" xfId="0">
      <alignment horizontal="left" vertical="top"/>
    </xf>
    <xf numFmtId="0" fontId="16" fillId="6" borderId="2" applyAlignment="1" pivotButton="0" quotePrefix="0" xfId="0">
      <alignment vertical="top" wrapText="1"/>
    </xf>
    <xf numFmtId="0" fontId="13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6" fillId="7" borderId="2" applyAlignment="1" pivotButton="0" quotePrefix="0" xfId="0">
      <alignment vertical="top" wrapText="1"/>
    </xf>
    <xf numFmtId="164" fontId="16" fillId="0" borderId="2" applyAlignment="1" pivotButton="0" quotePrefix="0" xfId="0">
      <alignment horizontal="left" vertical="top"/>
    </xf>
    <xf numFmtId="0" fontId="18" fillId="0" borderId="0" applyAlignment="1" pivotButton="0" quotePrefix="0" xfId="0">
      <alignment vertical="top" wrapText="1"/>
    </xf>
    <xf numFmtId="0" fontId="12" fillId="3" borderId="2" applyAlignment="1" pivotButton="0" quotePrefix="0" xfId="0">
      <alignment horizontal="center" vertical="top" wrapText="1"/>
    </xf>
    <xf numFmtId="0" fontId="16" fillId="0" borderId="2" applyAlignment="1" pivotButton="0" quotePrefix="0" xfId="0">
      <alignment horizontal="center" vertical="top" wrapText="1"/>
    </xf>
    <xf numFmtId="9" fontId="16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center" vertical="top" wrapText="1"/>
    </xf>
    <xf numFmtId="1" fontId="13" fillId="0" borderId="2" applyAlignment="1" pivotButton="0" quotePrefix="0" xfId="0">
      <alignment horizontal="center" vertical="top" wrapText="1"/>
    </xf>
    <xf numFmtId="164" fontId="13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12" fillId="3" borderId="0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top" wrapText="1"/>
    </xf>
    <xf numFmtId="0" fontId="13" fillId="0" borderId="0" pivotButton="0" quotePrefix="0" xfId="0"/>
    <xf numFmtId="0" fontId="1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49" fontId="16" fillId="0" borderId="2" applyAlignment="1" pivotButton="0" quotePrefix="0" xfId="0">
      <alignment horizontal="left" vertical="top"/>
    </xf>
    <xf numFmtId="0" fontId="19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1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21" min="1" max="1"/>
    <col width="34" customWidth="1" style="21" min="2" max="2"/>
    <col width="14" customWidth="1" style="21" min="3" max="3"/>
    <col width="10" customWidth="1" style="21" min="4" max="4"/>
    <col width="12" customWidth="1" style="21" min="5" max="5"/>
    <col width="12" customWidth="1" style="21" min="6" max="6"/>
    <col width="12" customWidth="1" style="21" min="7" max="7"/>
    <col width="12" customWidth="1" style="21" min="8" max="8"/>
    <col width="12" customWidth="1" style="21" min="9" max="9"/>
    <col width="12" customWidth="1" style="21" min="10" max="10"/>
    <col width="44" customWidth="1" style="21" min="11" max="11"/>
    <col width="44" customWidth="1" style="21" min="12" max="12"/>
  </cols>
  <sheetData>
    <row r="1">
      <c r="A1" s="22" t="inlineStr">
        <is>
          <t>Painel do projeto — Driver M-Audio FireWire 1814 para macOS 10.13.6</t>
        </is>
      </c>
    </row>
    <row r="2" ht="28" customHeight="1" s="21">
      <c r="A2" s="23" t="inlineStr">
        <is>
          <t>2026-10-21</t>
        </is>
      </c>
    </row>
    <row r="3"/>
    <row r="4">
      <c r="A4" s="24" t="inlineStr">
        <is>
          <t>Visão geral</t>
        </is>
      </c>
    </row>
    <row r="5">
      <c r="A5" s="25" t="inlineStr">
        <is>
          <t>Itens rastreados</t>
        </is>
      </c>
      <c r="B5" s="26">
        <f>COUNTA(Itens!$A$2:$A$500)</f>
        <v/>
      </c>
      <c r="D5" s="25" t="inlineStr">
        <is>
          <t>Progresso total do projeto (média pesquisa + build)</t>
        </is>
      </c>
      <c r="E5" s="27" t="n"/>
      <c r="F5" s="27" t="n"/>
      <c r="G5" s="28" t="n"/>
      <c r="H5" s="29">
        <f>IFERROR(AVERAGE(B15,B16),0)</f>
        <v/>
      </c>
    </row>
    <row r="6">
      <c r="A6" s="25" t="inlineStr">
        <is>
          <t>Itens fechados</t>
        </is>
      </c>
      <c r="B6" s="26">
        <f>COUNTIF(Itens!$K$2:$K$500,"Consistente")+COUNTIF(Itens!$K$2:$K$500,"Corrigido 2026-10-14")+COUNTIF(Itens!$K$2:$K$500,"Corrigido 2026-10-15")+COUNTIF(Itens!$K$2:$K$500,"Corrigido 2026-10-16")+COUNTIF(Itens!$K$2:$K$500,"Corrigido 2026-10-09")</f>
        <v/>
      </c>
      <c r="D6" s="30" t="inlineStr">
        <is>
          <t>Média de dois blocos: pesquisa (fases 0–D, linhas 22–28) e build (pacotes P/M/H/PN/IN da aba Build, linhas 30–34). O portão G1 passou em 2026-10-14; o build avança segundo o fluxograma.</t>
        </is>
      </c>
      <c r="E6" s="27" t="n"/>
      <c r="F6" s="27" t="n"/>
      <c r="G6" s="28" t="n"/>
      <c r="H6" s="31" t="n"/>
    </row>
    <row r="7">
      <c r="A7" s="25" t="inlineStr">
        <is>
          <t>% fechados</t>
        </is>
      </c>
      <c r="B7" s="32">
        <f>IFERROR(B6/B5,0)</f>
        <v/>
      </c>
    </row>
    <row r="8">
      <c r="A8" s="25" t="inlineStr">
        <is>
          <t>Itens abertos</t>
        </is>
      </c>
      <c r="B8" s="26">
        <f>COUNTIF(Itens!$K$2:$K$500,"Aberto / não resolvido")</f>
        <v/>
      </c>
      <c r="D8" s="33" t="inlineStr">
        <is>
          <t>ONDE ESTAMOS</t>
        </is>
      </c>
      <c r="E8" s="27" t="n"/>
      <c r="F8" s="27" t="n"/>
      <c r="G8" s="27" t="n"/>
      <c r="H8" s="27" t="n"/>
      <c r="I8" s="27" t="n"/>
      <c r="J8" s="27" t="n"/>
      <c r="K8" s="27" t="n"/>
      <c r="L8" s="28" t="n"/>
    </row>
    <row r="9" ht="22" customHeight="1" s="21">
      <c r="A9" s="25" t="inlineStr">
        <is>
          <t>Não auditados</t>
        </is>
      </c>
      <c r="B9" s="26">
        <f>COUNTIF(Itens!$K$2:$K$500,"Não auditado")</f>
        <v/>
      </c>
      <c r="D9" s="34" t="inlineStr">
        <is>
          <t>Árvore 0.1.0 (só FW1814) concluída e congelada (tag v0.1.0). O trabalho atual está em openaudio-mafw-bebob/ (pacote 0.2.2, FW1814 + Audiophile, publicado; tracker PROVENANCE-MATRIX-AUDIOPHILE.xlsx). Tudo funciona no uso diário (usuário, 2026-10-21).</t>
        </is>
      </c>
      <c r="E9" s="35" t="n"/>
      <c r="F9" s="35" t="n"/>
      <c r="G9" s="35" t="n"/>
      <c r="H9" s="35" t="n"/>
      <c r="I9" s="35" t="n"/>
      <c r="J9" s="35" t="n"/>
      <c r="K9" s="35" t="n"/>
      <c r="L9" s="36" t="n"/>
    </row>
    <row r="10" ht="22" customHeight="1" s="21">
      <c r="A10" s="25" t="inlineStr">
        <is>
          <t>Flags do audit</t>
        </is>
      </c>
      <c r="B10" s="26">
        <f>COUNTA(Flags_auditoria!$A$2:$A$500)-COUNTIF(Flags_auditoria!$A$2:$A$500,"OK")</f>
        <v/>
      </c>
      <c r="D10" s="37" t="n"/>
      <c r="L10" s="38" t="n"/>
    </row>
    <row r="11" ht="22" customHeight="1" s="21">
      <c r="A11" s="25" t="inlineStr">
        <is>
          <t>Flags resolvidas</t>
        </is>
      </c>
      <c r="B11" s="26">
        <f>COUNTIF(Flags_auditoria!$H$2:$H$500,"Resolvido")</f>
        <v/>
      </c>
      <c r="D11" s="39" t="n"/>
      <c r="E11" s="40" t="n"/>
      <c r="F11" s="40" t="n"/>
      <c r="G11" s="40" t="n"/>
      <c r="H11" s="40" t="n"/>
      <c r="I11" s="40" t="n"/>
      <c r="J11" s="40" t="n"/>
      <c r="K11" s="40" t="n"/>
      <c r="L11" s="41" t="n"/>
    </row>
    <row r="12">
      <c r="A12" s="25" t="inlineStr">
        <is>
          <t>Flags rotuladas (hipótese)</t>
        </is>
      </c>
      <c r="B12" s="26">
        <f>COUNTIF(Flags_auditoria!$H$2:$H$500,"Rotulado")</f>
        <v/>
      </c>
      <c r="D12" s="42" t="inlineStr">
        <is>
          <t>PARA ONDE VAMOS</t>
        </is>
      </c>
      <c r="E12" s="27" t="n"/>
      <c r="F12" s="27" t="n"/>
      <c r="G12" s="27" t="n"/>
      <c r="H12" s="27" t="n"/>
      <c r="I12" s="27" t="n"/>
      <c r="J12" s="27" t="n"/>
      <c r="K12" s="27" t="n"/>
      <c r="L12" s="28" t="n"/>
    </row>
    <row r="13" ht="22" customHeight="1" s="21">
      <c r="A13" s="25" t="inlineStr">
        <is>
          <t>Flags abertas</t>
        </is>
      </c>
      <c r="B13" s="26">
        <f>COUNTIF(Flags_auditoria!$H$2:$H$500,"Aberto")</f>
        <v/>
      </c>
      <c r="D13" s="34" t="inlineStr">
        <is>
          <t>Sem testes formais (R123): os testes restantes estão como 'Sob demanda (uso real)' e só voltam se o uso real mostrar problema. Novas tarefas vão para o tracker do Audiophile.</t>
        </is>
      </c>
      <c r="E13" s="35" t="n"/>
      <c r="F13" s="35" t="n"/>
      <c r="G13" s="35" t="n"/>
      <c r="H13" s="35" t="n"/>
      <c r="I13" s="35" t="n"/>
      <c r="J13" s="35" t="n"/>
      <c r="K13" s="35" t="n"/>
      <c r="L13" s="36" t="n"/>
    </row>
    <row r="14" ht="22" customHeight="1" s="21">
      <c r="A14" s="25" t="inlineStr">
        <is>
          <t>Confiança média (0–10)</t>
        </is>
      </c>
      <c r="B14" s="43">
        <f>IFERROR(AVERAGE(Itens!$L$2:$L$500),0)</f>
        <v/>
      </c>
      <c r="D14" s="37" t="n"/>
      <c r="L14" s="38" t="n"/>
    </row>
    <row r="15" ht="22" customHeight="1" s="21">
      <c r="A15" s="25" t="inlineStr">
        <is>
          <t>Progresso da pesquisa (fases 0–D)</t>
        </is>
      </c>
      <c r="B15" s="32">
        <f>IFERROR(AVERAGE(D22:D28),0)</f>
        <v/>
      </c>
      <c r="D15" s="39" t="n"/>
      <c r="E15" s="40" t="n"/>
      <c r="F15" s="40" t="n"/>
      <c r="G15" s="40" t="n"/>
      <c r="H15" s="40" t="n"/>
      <c r="I15" s="40" t="n"/>
      <c r="J15" s="40" t="n"/>
      <c r="K15" s="40" t="n"/>
      <c r="L15" s="41" t="n"/>
    </row>
    <row r="16">
      <c r="A16" s="25" t="inlineStr">
        <is>
          <t>Progresso do build (aba Build)</t>
        </is>
      </c>
      <c r="B16" s="32">
        <f>IFERROR(AVERAGE(D30:D34),0)</f>
        <v/>
      </c>
    </row>
    <row r="17">
      <c r="A17" s="25" t="inlineStr">
        <is>
          <t>Tarefas de build concluídas (exclui canceladas)</t>
        </is>
      </c>
      <c r="B17" s="75">
        <f>COUNTIF(Build!$F$2:$F$300,"Concluído")&amp;" / "&amp;(COUNTA(Build!$A$2:$A$300)-COUNTIF(Build!$F$2:$F$300,"Cancelado*")-COUNTIF(Build!$F$2:$F$300,"Sob demanda*"))&amp;" (+"&amp;COUNTIF(Build!$F$2:$F$300,"Cancelado*")&amp;" canceladas, +"&amp;COUNTIF(Build!$F$2:$F$300,"Sob demanda*")&amp;" sob demanda)"</f>
        <v/>
      </c>
    </row>
    <row r="18"/>
    <row r="19">
      <c r="A19" s="24" t="inlineStr">
        <is>
          <t>Roadmap — pesquisa (linhas 22–28) e build do clone D2 (linhas 29–34)</t>
        </is>
      </c>
    </row>
    <row r="20">
      <c r="A20" s="44" t="inlineStr">
        <is>
          <t>Portão G1 PASSOU em 2026-10-14. Regras (2026-10-15): pilha completa; REGRA DO AVIÃO (sem teste parcial em hardware; verificar por conformidade; um teste integrado no fim); dev local + sync para o build PC; sem gravação de flash.</t>
        </is>
      </c>
    </row>
    <row r="21">
      <c r="A21" s="45" t="inlineStr">
        <is>
          <t>Fase</t>
        </is>
      </c>
      <c r="B21" s="45" t="inlineStr">
        <is>
          <t>Ramo principal</t>
        </is>
      </c>
      <c r="C21" s="45" t="inlineStr">
        <is>
          <t>Estado</t>
        </is>
      </c>
      <c r="D21" s="45" t="inlineStr">
        <is>
          <t>% pronto</t>
        </is>
      </c>
      <c r="E21" s="45" t="inlineStr">
        <is>
          <t>Itens</t>
        </is>
      </c>
      <c r="F21" s="45" t="inlineStr">
        <is>
          <t>Fechados</t>
        </is>
      </c>
      <c r="G21" s="45" t="inlineStr">
        <is>
          <t>Abertos</t>
        </is>
      </c>
      <c r="H21" s="45" t="inlineStr">
        <is>
          <t>Não audit.</t>
        </is>
      </c>
      <c r="I21" s="45" t="inlineStr">
        <is>
          <t>Flags abertas</t>
        </is>
      </c>
      <c r="J21" s="45" t="inlineStr"/>
      <c r="K21" s="45" t="inlineStr">
        <is>
          <t>Onde estamos</t>
        </is>
      </c>
      <c r="L21" s="45" t="inlineStr">
        <is>
          <t>O que falta / próximo passo</t>
        </is>
      </c>
    </row>
    <row r="22" ht="54" customHeight="1" s="21">
      <c r="A22" s="46" t="inlineStr">
        <is>
          <t>0</t>
        </is>
      </c>
      <c r="B22" s="34" t="inlineStr">
        <is>
          <t>Fundação: pivô e plano (NEW_PLAN)</t>
        </is>
      </c>
      <c r="C22" s="46" t="inlineStr">
        <is>
          <t>Concluído</t>
        </is>
      </c>
      <c r="D22" s="47" t="n">
        <v>1</v>
      </c>
      <c r="E22" s="48" t="inlineStr">
        <is>
          <t>—</t>
        </is>
      </c>
      <c r="F22" s="48" t="inlineStr">
        <is>
          <t>—</t>
        </is>
      </c>
      <c r="G22" s="48" t="inlineStr">
        <is>
          <t>—</t>
        </is>
      </c>
      <c r="H22" s="48" t="inlineStr">
        <is>
          <t>—</t>
        </is>
      </c>
      <c r="I22" s="48" t="inlineStr">
        <is>
          <t>—</t>
        </is>
      </c>
      <c r="J22" s="34" t="inlineStr"/>
      <c r="K22" s="34" t="inlineStr">
        <is>
          <t>NEW_PLAN.md, STATE.md, regras de proveniência e árvore docs/system-map prontos.</t>
        </is>
      </c>
      <c r="L22" s="34" t="inlineStr">
        <is>
          <t>Nada.</t>
        </is>
      </c>
    </row>
    <row r="23" ht="54" customHeight="1" s="21">
      <c r="A23" s="46" t="inlineStr">
        <is>
          <t>A</t>
        </is>
      </c>
      <c r="B23" s="34" t="inlineStr">
        <is>
          <t>Desmontagem de _extracted/ (A1 kext, A2 painel, A3 MIDI, A4 helper, A5 firmware, A6 prefpane)</t>
        </is>
      </c>
      <c r="C23" s="46" t="inlineStr">
        <is>
          <t>Concluído</t>
        </is>
      </c>
      <c r="D23" s="47">
        <f>IFERROR(F23/E23,0)</f>
        <v/>
      </c>
      <c r="E23" s="49">
        <f>SUM(COUNTIF(Itens!$B$2:$B$500,{"A1","A2","A3","A4","A5","A6"}))</f>
        <v/>
      </c>
      <c r="F23" s="49">
        <f>SUM(COUNTIFS(Itens!$B$2:$B$500,{"A1","A2","A3","A4","A5","A6"},Itens!$K$2:$K$500,"Consistente"))+SUM(COUNTIFS(Itens!$B$2:$B$500,{"A1","A2","A3","A4","A5","A6"},Itens!$K$2:$K$500,"Corrigido 2026-10-14"))+SUM(COUNTIFS(Itens!$B$2:$B$500,{"A1","A2","A3","A4","A5","A6"},Itens!$K$2:$K$500,"Corrigido 2026-10-15"))+SUM(COUNTIFS(Itens!$B$2:$B$500,{"A1","A2","A3","A4","A5","A6"},Itens!$K$2:$K$500,"Corrigido 2026-10-16"))+SUM(COUNTIFS(Itens!$B$2:$B$500,{"A1","A2","A3","A4","A5","A6"},Itens!$K$2:$K$500,"Corrigido 2026-10-09"))</f>
        <v/>
      </c>
      <c r="G23" s="49">
        <f>SUM(COUNTIFS(Itens!$B$2:$B$500,{"A1","A2","A3","A4","A5","A6"},Itens!$K$2:$K$500,"Aberto / não resolvido"))</f>
        <v/>
      </c>
      <c r="H23" s="49">
        <f>SUM(COUNTIFS(Itens!$B$2:$B$500,{"A1","A2","A3","A4","A5","A6"},Itens!$K$2:$K$500,"Não auditado"))</f>
        <v/>
      </c>
      <c r="I23" s="49">
        <f>SUM(COUNTIFS(Flags_auditoria!$K$2:$K$500,{"A1","A2","A3","A4","A5","A6"},Flags_auditoria!$H$2:$H$500,"Aberto"))</f>
        <v/>
      </c>
      <c r="J23" s="34" t="inlineStr"/>
      <c r="K23" s="34" t="inlineStr">
        <is>
          <t>Ghidra + otool em todos os binários; 70 itens só no kext (A1).</t>
        </is>
      </c>
      <c r="L23" s="34" t="inlineStr">
        <is>
          <t>Q-MAMAP (46 chaves MA*), Q3b (reaplicar preferências), v1.5.2 sync-radio, consumidor do bit 2 S/PDIF, identidade de IOFireWireNub vt[0x850].</t>
        </is>
      </c>
    </row>
    <row r="24" ht="54" customHeight="1" s="21">
      <c r="A24" s="46" t="inlineStr">
        <is>
          <t>B</t>
        </is>
      </c>
      <c r="B24" s="34" t="inlineStr">
        <is>
          <t>Cruzamento com terceiros e hardware (B1 FFADO, B2 snd-bebob, B2a Rust, B3 hack Sierra, B4 macfw, B5 DTrace SL)</t>
        </is>
      </c>
      <c r="C24" s="46" t="inlineStr">
        <is>
          <t>Concluído</t>
        </is>
      </c>
      <c r="D24" s="47">
        <f>IFERROR(F24/E24,0)</f>
        <v/>
      </c>
      <c r="E24" s="49">
        <f>SUM(COUNTIF(Itens!$B$2:$B$500,{"B1","B2","B2a","B3","B4","B5"}))</f>
        <v/>
      </c>
      <c r="F24" s="49">
        <f>SUM(COUNTIFS(Itens!$B$2:$B$500,{"B1","B2","B2a","B3","B4","B5"},Itens!$K$2:$K$500,"Consistente"))+SUM(COUNTIFS(Itens!$B$2:$B$500,{"B1","B2","B2a","B3","B4","B5"},Itens!$K$2:$K$500,"Corrigido 2026-10-14"))+SUM(COUNTIFS(Itens!$B$2:$B$500,{"B1","B2","B2a","B3","B4","B5"},Itens!$K$2:$K$500,"Corrigido 2026-10-15"))+SUM(COUNTIFS(Itens!$B$2:$B$500,{"B1","B2","B2a","B3","B4","B5"},Itens!$K$2:$K$500,"Corrigido 2026-10-16"))+SUM(COUNTIFS(Itens!$B$2:$B$500,{"B1","B2","B2a","B3","B4","B5"},Itens!$K$2:$K$500,"Corrigido 2026-10-09"))</f>
        <v/>
      </c>
      <c r="G24" s="49">
        <f>SUM(COUNTIFS(Itens!$B$2:$B$500,{"B1","B2","B2a","B3","B4","B5"},Itens!$K$2:$K$500,"Aberto / não resolvido"))</f>
        <v/>
      </c>
      <c r="H24" s="49">
        <f>SUM(COUNTIFS(Itens!$B$2:$B$500,{"B1","B2","B2a","B3","B4","B5"},Itens!$K$2:$K$500,"Não auditado"))</f>
        <v/>
      </c>
      <c r="I24" s="49">
        <f>SUM(COUNTIFS(Flags_auditoria!$K$2:$K$500,{"B1","B2","B2a","B3","B4","B5"},Flags_auditoria!$H$2:$H$500,"Aberto"))</f>
        <v/>
      </c>
      <c r="J24" s="34" t="inlineStr"/>
      <c r="K24" s="34" t="inlineStr">
        <is>
          <t>Terceiros usados só para decodificar bytes opacos; o kext vence em conflito.</t>
        </is>
      </c>
      <c r="L24" s="34" t="inlineStr">
        <is>
          <t>Latência em 88.2/96/176.4/192 kHz e captura FCP de troca de clock (rig SL); pânico do v1.9 em troca de taxa.</t>
        </is>
      </c>
    </row>
    <row r="25" ht="54" customHeight="1" s="21">
      <c r="A25" s="46" t="inlineStr">
        <is>
          <t>C</t>
        </is>
      </c>
      <c r="B25" s="34" t="inlineStr">
        <is>
          <t>Síntese do sistema (C1 ciclo de vida, C2 sync, C3 comunicação, C4 transporte, C5 user-client, C6 latência)</t>
        </is>
      </c>
      <c r="C25" s="46" t="inlineStr">
        <is>
          <t>Concluído</t>
        </is>
      </c>
      <c r="D25" s="47">
        <f>IFERROR(F25/E25,0)</f>
        <v/>
      </c>
      <c r="E25" s="49">
        <f>SUM(COUNTIF(Itens!$B$2:$B$500,{"C1","C2","C3","C4","C5","C6"}))</f>
        <v/>
      </c>
      <c r="F25" s="49">
        <f>SUM(COUNTIFS(Itens!$B$2:$B$500,{"C1","C2","C3","C4","C5","C6"},Itens!$K$2:$K$500,"Consistente"))+SUM(COUNTIFS(Itens!$B$2:$B$500,{"C1","C2","C3","C4","C5","C6"},Itens!$K$2:$K$500,"Corrigido 2026-10-14"))+SUM(COUNTIFS(Itens!$B$2:$B$500,{"C1","C2","C3","C4","C5","C6"},Itens!$K$2:$K$500,"Corrigido 2026-10-15"))+SUM(COUNTIFS(Itens!$B$2:$B$500,{"C1","C2","C3","C4","C5","C6"},Itens!$K$2:$K$500,"Corrigido 2026-10-16"))+SUM(COUNTIFS(Itens!$B$2:$B$500,{"C1","C2","C3","C4","C5","C6"},Itens!$K$2:$K$500,"Corrigido 2026-10-09"))</f>
        <v/>
      </c>
      <c r="G25" s="49">
        <f>SUM(COUNTIFS(Itens!$B$2:$B$500,{"C1","C2","C3","C4","C5","C6"},Itens!$K$2:$K$500,"Aberto / não resolvido"))</f>
        <v/>
      </c>
      <c r="H25" s="49">
        <f>SUM(COUNTIFS(Itens!$B$2:$B$500,{"C1","C2","C3","C4","C5","C6"},Itens!$K$2:$K$500,"Não auditado"))</f>
        <v/>
      </c>
      <c r="I25" s="49">
        <f>SUM(COUNTIFS(Flags_auditoria!$K$2:$K$500,{"C1","C2","C3","C4","C5","C6"},Flags_auditoria!$H$2:$H$500,"Aberto"))</f>
        <v/>
      </c>
      <c r="J25" s="34" t="inlineStr"/>
      <c r="K25" s="34" t="inlineStr">
        <is>
          <t>C1–C6 consolidados em 2026-10-14 (P5, R35): uma versão consistente por documento; itens não verificados seguem rotulados.</t>
        </is>
      </c>
      <c r="L25" s="34" t="inlineStr">
        <is>
          <t>Restam só medições/hardware (7 flags abertas) e os itens P1–P4/P6; nada de texto antigo a consolidar.</t>
        </is>
      </c>
    </row>
    <row r="26" ht="54" customHeight="1" s="21">
      <c r="A26" s="46" t="inlineStr">
        <is>
          <t>Aud</t>
        </is>
      </c>
      <c r="B26" s="34" t="inlineStr">
        <is>
          <t>Auditoria de proveniência (129 flags)</t>
        </is>
      </c>
      <c r="C26" s="46" t="inlineStr">
        <is>
          <t>Em andamento</t>
        </is>
      </c>
      <c r="D26" s="47">
        <f>IFERROR(F26/E26,0)</f>
        <v/>
      </c>
      <c r="E26" s="49">
        <f>COUNTIF(Flags_auditoria!$A$2:$A$500,"AUD-*")</f>
        <v/>
      </c>
      <c r="F26" s="49">
        <f>COUNTIF(Flags_auditoria!$H$2:$H$500,"Resolvido")+COUNTIF(Flags_auditoria!$H$2:$H$500,"Rotulado")</f>
        <v/>
      </c>
      <c r="G26" s="49">
        <f>COUNTIF(Flags_auditoria!$H$2:$H$500,"Aberto")</f>
        <v/>
      </c>
      <c r="H26" s="48" t="inlineStr">
        <is>
          <t>—</t>
        </is>
      </c>
      <c r="I26" s="49">
        <f>COUNTIF(Flags_auditoria!$H$2:$H$500,"Aberto")</f>
        <v/>
      </c>
      <c r="J26" s="34" t="inlineStr"/>
      <c r="K26" s="34" t="inlineStr">
        <is>
          <t>Resolvidas/rotuladas todas as pendências; restam as abertas que exigem captura ou fonte Apple.</t>
        </is>
      </c>
      <c r="L26" s="34" t="inlineStr">
        <is>
          <t>Fechar as flags "Aberto" (aba Flags_auditoria, coluna Status): temporização, hipótese 0xCF, firmware read-shy.</t>
        </is>
      </c>
    </row>
    <row r="27" ht="54" customHeight="1" s="21">
      <c r="A27" s="46" t="inlineStr">
        <is>
          <t>Pré</t>
        </is>
      </c>
      <c r="B27" s="34" t="inlineStr">
        <is>
          <t>Pesquisa pré-build (Q-MAMAP, Q3b, Q-SDK, Q-RATE-LATENCY, rig SL)</t>
        </is>
      </c>
      <c r="C27" s="46" t="inlineStr">
        <is>
          <t>Em andamento</t>
        </is>
      </c>
      <c r="D27" s="47">
        <f>IFERROR(F27/E27,0)</f>
        <v/>
      </c>
      <c r="E27" s="49">
        <f>SUM(COUNTIF(Itens!$P$2:$P$500,{"A1-Q-SDK","A1-Q3b","A1-Q15f","A1-Q-CMP"}))</f>
        <v/>
      </c>
      <c r="F27" s="49">
        <f>SUM(COUNTIFS(Itens!$P$2:$P$500,{"A1-Q-SDK","A1-Q3b","A1-Q15f","A1-Q-CMP"},Itens!$K$2:$K$500,"Consistente"))+SUM(COUNTIFS(Itens!$P$2:$P$500,{"A1-Q-SDK","A1-Q3b","A1-Q15f","A1-Q-CMP"},Itens!$K$2:$K$500,"Corrigido 2026-10-14"))+SUM(COUNTIFS(Itens!$P$2:$P$500,{"A1-Q-SDK","A1-Q3b","A1-Q15f","A1-Q-CMP"},Itens!$K$2:$K$500,"Corrigido 2026-10-15"))+SUM(COUNTIFS(Itens!$P$2:$P$500,{"A1-Q-SDK","A1-Q3b","A1-Q15f","A1-Q-CMP"},Itens!$K$2:$K$500,"Corrigido 2026-10-16"))+SUM(COUNTIFS(Itens!$P$2:$P$500,{"A1-Q-SDK","A1-Q3b","A1-Q15f","A1-Q-CMP"},Itens!$K$2:$K$500,"Corrigido 2026-10-09"))</f>
        <v/>
      </c>
      <c r="G27" s="49">
        <f>SUM(COUNTIFS(Itens!$P$2:$P$500,{"A1-Q-SDK","A1-Q3b","A1-Q15f","A1-Q-CMP"},Itens!$K$2:$K$500,"Aberto / não resolvido"))</f>
        <v/>
      </c>
      <c r="H27" s="49">
        <f>SUM(COUNTIFS(Itens!$P$2:$P$500,{"A1-Q-SDK","A1-Q3b","A1-Q15f","A1-Q-CMP"},Itens!$K$2:$K$500,"Não auditado"))</f>
        <v/>
      </c>
      <c r="I27" s="48" t="inlineStr">
        <is>
          <t>—</t>
        </is>
      </c>
      <c r="J27" s="34" t="inlineStr"/>
      <c r="K27" s="34" t="inlineStr">
        <is>
          <t>Q-SDK refutou o breaker #3; causa do pânico = operator delete(NULL) na destruição.</t>
        </is>
      </c>
      <c r="L27" s="34" t="inlineStr">
        <is>
          <t>Q-SDK.5 fechado. Resta: tolerância a NULL no kernel SL (hipótese), rodada 2 no 10.13.6 (precisa de patch, congelado até D).</t>
        </is>
      </c>
    </row>
    <row r="28" ht="54" customHeight="1" s="21">
      <c r="A28" s="46" t="inlineStr">
        <is>
          <t>D</t>
        </is>
      </c>
      <c r="B28" s="34" t="inlineStr">
        <is>
          <t>Decisão de build (D1 patch, D2 clone retomado, D3 híbrido)</t>
        </is>
      </c>
      <c r="C28" s="46" t="inlineStr">
        <is>
          <t>Escolhido: D2 (clone)</t>
        </is>
      </c>
      <c r="D28" s="47">
        <f>IFERROR(F28/E28,0)</f>
        <v/>
      </c>
      <c r="E28" s="49">
        <f>SUM(COUNTIF(Itens!$B$2:$B$500,{"D"}))</f>
        <v/>
      </c>
      <c r="F28" s="49">
        <f>SUM(COUNTIFS(Itens!$B$2:$B$500,{"D"},Itens!$K$2:$K$500,"Consistente"))+SUM(COUNTIFS(Itens!$B$2:$B$500,{"D"},Itens!$K$2:$K$500,"Corrigido 2026-10-14"))+SUM(COUNTIFS(Itens!$B$2:$B$500,{"D"},Itens!$K$2:$K$500,"Corrigido 2026-10-15"))+SUM(COUNTIFS(Itens!$B$2:$B$500,{"D"},Itens!$K$2:$K$500,"Corrigido 2026-10-16"))+SUM(COUNTIFS(Itens!$B$2:$B$500,{"D"},Itens!$K$2:$K$500,"Corrigido 2026-10-09"))</f>
        <v/>
      </c>
      <c r="G28" s="49">
        <f>SUM(COUNTIFS(Itens!$B$2:$B$500,{"D"},Itens!$K$2:$K$500,"Aberto / não resolvido"))</f>
        <v/>
      </c>
      <c r="H28" s="49">
        <f>SUM(COUNTIFS(Itens!$B$2:$B$500,{"D"},Itens!$K$2:$K$500,"Não auditado"))</f>
        <v/>
      </c>
      <c r="I28" s="49">
        <f>SUM(COUNTIFS(Flags_auditoria!$K$2:$K$500,{"D"},Flags_auditoria!$H$2:$H$500,"Aberto"))</f>
        <v/>
      </c>
      <c r="J28" s="34" t="inlineStr"/>
      <c r="K28" s="34" t="inlineStr">
        <is>
          <t>D2 (clone completo) escolhido pelo usuário em 2026-10-14; D1/D3 retirados; plano em docs/BUILD-PLAN.md.</t>
        </is>
      </c>
      <c r="L28" s="34" t="inlineStr">
        <is>
          <t>Você aprovar o BUILD-PLAN (portão G1). Código congelado até lá.</t>
        </is>
      </c>
    </row>
    <row r="29" ht="54" customHeight="1" s="21">
      <c r="A29" s="45" t="inlineStr">
        <is>
          <t>Fase</t>
        </is>
      </c>
      <c r="B29" s="45" t="inlineStr">
        <is>
          <t>Pacote de build (aba Build)</t>
        </is>
      </c>
      <c r="C29" s="45" t="inlineStr">
        <is>
          <t>Estado</t>
        </is>
      </c>
      <c r="D29" s="45" t="inlineStr">
        <is>
          <t>% pronto</t>
        </is>
      </c>
      <c r="E29" s="45" t="inlineStr">
        <is>
          <t>Tarefas</t>
        </is>
      </c>
      <c r="F29" s="45" t="inlineStr">
        <is>
          <t>Concluídas</t>
        </is>
      </c>
      <c r="G29" s="45" t="inlineStr">
        <is>
          <t>Em andamento</t>
        </is>
      </c>
      <c r="H29" s="45" t="inlineStr">
        <is>
          <t>Autorizadas</t>
        </is>
      </c>
      <c r="I29" s="45" t="inlineStr">
        <is>
          <t>Aguardam plano</t>
        </is>
      </c>
      <c r="J29" s="45" t="n"/>
      <c r="K29" s="45" t="inlineStr">
        <is>
          <t>Onde estamos</t>
        </is>
      </c>
      <c r="L29" s="45" t="inlineStr">
        <is>
          <t>O que falta / próximo passo</t>
        </is>
      </c>
    </row>
    <row r="30" ht="54" customHeight="1" s="21">
      <c r="A30" s="46" t="inlineStr">
        <is>
          <t>P</t>
        </is>
      </c>
      <c r="B30" s="34" t="inlineStr">
        <is>
          <t>Pré-trabalho estático P1–P6 (DCL clássico, IOBMD, firmware no kext, tabelas, C-docs, oráculo)</t>
        </is>
      </c>
      <c r="C30" s="46">
        <f>IF(F30=E30,"Concluído",IF(F30+G30&gt;0,"Em andamento",IF(H30&gt;0,"Autorizado","Não iniciado")))</f>
        <v/>
      </c>
      <c r="D30" s="47">
        <f>IFERROR(F30/E30,0)</f>
        <v/>
      </c>
      <c r="E30" s="48">
        <f>COUNTIF(Build!$B$2:$B$300,"P")-(COUNTIFS(Build!$B$2:$B$300,"P",Build!$F$2:$F$300,"Cancelado*")+COUNTIFS(Build!$B$2:$B$300,"P",Build!$F$2:$F$300,"Sob demanda*"))</f>
        <v/>
      </c>
      <c r="F30" s="48">
        <f>COUNTIFS(Build!$B$2:$B$300,"P",Build!$F$2:$F$300,"Concluído")</f>
        <v/>
      </c>
      <c r="G30" s="48">
        <f>COUNTIFS(Build!$B$2:$B$300,"P",Build!$F$2:$F$300,"Em andamento")</f>
        <v/>
      </c>
      <c r="H30" s="48">
        <f>COUNTIFS(Build!$B$2:$B$300,"P",Build!$F$2:$F$300,"Autorizado (pré-trabalho)")</f>
        <v/>
      </c>
      <c r="I30" s="48">
        <f>COUNTIFS(Build!$B$2:$B$300,"P",Build!$F$2:$F$300,"Aguarda aprovação do plano")</f>
        <v/>
      </c>
      <c r="J30" s="34" t="n"/>
      <c r="K30" s="34" t="inlineStr">
        <is>
          <t>P1–P6 concluídos em 2026-10-14 (R35–R39).</t>
        </is>
      </c>
      <c r="L30" s="34" t="inlineStr">
        <is>
          <t>Nada.</t>
        </is>
      </c>
    </row>
    <row r="31" ht="54" customHeight="1" s="21">
      <c r="A31" s="46" t="inlineStr">
        <is>
          <t>M</t>
        </is>
      </c>
      <c r="B31" s="34" t="inlineStr">
        <is>
          <t>Kext clone (M-A…M-M: esqueleto, firmware, DCL, CMP, taxas, mixer, user-client, MIDI, AC3, engines, multi, latência, UX)</t>
        </is>
      </c>
      <c r="C31" s="46">
        <f>IF(F31=E31,"Concluído",IF(F31+G31&gt;0,"Em andamento",IF(H31&gt;0,"Autorizado","Não iniciado")))</f>
        <v/>
      </c>
      <c r="D31" s="47">
        <f>IFERROR(F31/E31,0)</f>
        <v/>
      </c>
      <c r="E31" s="49">
        <f>COUNTIF(Build!$B$2:$B$300,"M")-(COUNTIFS(Build!$B$2:$B$300,"M",Build!$F$2:$F$300,"Cancelado*")+COUNTIFS(Build!$B$2:$B$300,"M",Build!$F$2:$F$300,"Sob demanda*"))</f>
        <v/>
      </c>
      <c r="F31" s="49">
        <f>COUNTIFS(Build!$B$2:$B$300,"M",Build!$F$2:$F$300,"Concluído")</f>
        <v/>
      </c>
      <c r="G31" s="49">
        <f>COUNTIFS(Build!$B$2:$B$300,"M",Build!$F$2:$F$300,"Em andamento")</f>
        <v/>
      </c>
      <c r="H31" s="49">
        <f>COUNTIFS(Build!$B$2:$B$300,"M",Build!$F$2:$F$300,"Autorizado (pré-trabalho)")</f>
        <v/>
      </c>
      <c r="I31" s="49">
        <f>COUNTIFS(Build!$B$2:$B$300,"M",Build!$F$2:$F$300,"Aguarda aprovação do plano")</f>
        <v/>
      </c>
      <c r="J31" s="34" t="n"/>
      <c r="K31" s="34" t="inlineStr">
        <is>
          <t>Kext 0.1.0 completo e em uso; caminhos não exercitados (sleep/wake, MIDI no fio, AC-3, pares, latência em todas as taxas) sob demanda.</t>
        </is>
      </c>
      <c r="L31" s="34" t="inlineStr">
        <is>
          <t>Nada planejado; só se o uso real pedir.</t>
        </is>
      </c>
    </row>
    <row r="32" ht="54" customHeight="1" s="21">
      <c r="A32" s="46" t="inlineStr">
        <is>
          <t>H</t>
        </is>
      </c>
      <c r="B32" s="34" t="inlineStr">
        <is>
          <t>Helper novo estilo MAFireWireLoader (H.1–H.6)</t>
        </is>
      </c>
      <c r="C32" s="46">
        <f>IF(F32=E32,"Concluído",IF(F32+G32&gt;0,"Em andamento",IF(H32&gt;0,"Autorizado","Não iniciado")))</f>
        <v/>
      </c>
      <c r="D32" s="47">
        <f>IFERROR(F32/E32,0)</f>
        <v/>
      </c>
      <c r="E32" s="49">
        <f>COUNTIF(Build!$B$2:$B$300,"H")-(COUNTIFS(Build!$B$2:$B$300,"H",Build!$F$2:$F$300,"Cancelado*")+COUNTIFS(Build!$B$2:$B$300,"H",Build!$F$2:$F$300,"Sob demanda*"))</f>
        <v/>
      </c>
      <c r="F32" s="49">
        <f>COUNTIFS(Build!$B$2:$B$300,"H",Build!$F$2:$F$300,"Concluído")</f>
        <v/>
      </c>
      <c r="G32" s="49">
        <f>COUNTIFS(Build!$B$2:$B$300,"H",Build!$F$2:$F$300,"Em andamento")</f>
        <v/>
      </c>
      <c r="H32" s="49">
        <f>COUNTIFS(Build!$B$2:$B$300,"H",Build!$F$2:$F$300,"Autorizado (pré-trabalho)")</f>
        <v/>
      </c>
      <c r="I32" s="49">
        <f>COUNTIFS(Build!$B$2:$B$300,"H",Build!$F$2:$F$300,"Aguarda aprovação do plano")</f>
        <v/>
      </c>
      <c r="J32" s="34" t="n"/>
      <c r="K32" s="34" t="inlineStr">
        <is>
          <t>H.1/H.4 verificados; H.3 sob demanda; H.2/H.5 cancelados.</t>
        </is>
      </c>
      <c r="L32" s="34" t="inlineStr">
        <is>
          <t>—</t>
        </is>
      </c>
    </row>
    <row r="33" ht="54" customHeight="1" s="21">
      <c r="A33" s="46" t="inlineStr">
        <is>
          <t>PN</t>
        </is>
      </c>
      <c r="B33" s="34" t="inlineStr">
        <is>
          <t>Painel AppKit novo, paridade total (PN.1–PN.7)</t>
        </is>
      </c>
      <c r="C33" s="46">
        <f>IF(F33=E33,"Concluído",IF(F33+G33&gt;0,"Em andamento",IF(H33&gt;0,"Autorizado","Não iniciado")))</f>
        <v/>
      </c>
      <c r="D33" s="47">
        <f>IFERROR(F33/E33,0)</f>
        <v/>
      </c>
      <c r="E33" s="49">
        <f>COUNTIF(Build!$B$2:$B$300,"PN")-(COUNTIFS(Build!$B$2:$B$300,"PN",Build!$F$2:$F$300,"Cancelado*")+COUNTIFS(Build!$B$2:$B$300,"PN",Build!$F$2:$F$300,"Sob demanda*"))</f>
        <v/>
      </c>
      <c r="F33" s="49">
        <f>COUNTIFS(Build!$B$2:$B$300,"PN",Build!$F$2:$F$300,"Concluído")</f>
        <v/>
      </c>
      <c r="G33" s="49">
        <f>COUNTIFS(Build!$B$2:$B$300,"PN",Build!$F$2:$F$300,"Em andamento")</f>
        <v/>
      </c>
      <c r="H33" s="49">
        <f>COUNTIFS(Build!$B$2:$B$300,"PN",Build!$F$2:$F$300,"Autorizado (pré-trabalho)")</f>
        <v/>
      </c>
      <c r="I33" s="49">
        <f>COUNTIFS(Build!$B$2:$B$300,"PN",Build!$F$2:$F$300,"Aguarda aprovação do plano")</f>
        <v/>
      </c>
      <c r="J33" s="34" t="n"/>
      <c r="K33" s="34" t="inlineStr">
        <is>
          <t>Painel concluído (0.1.0) e substituído pelo painel 0.2.x.</t>
        </is>
      </c>
      <c r="L33" s="34" t="inlineStr">
        <is>
          <t>—</t>
        </is>
      </c>
    </row>
    <row r="34" ht="54" customHeight="1" s="21">
      <c r="A34" s="46" t="inlineStr">
        <is>
          <t>IN</t>
        </is>
      </c>
      <c r="B34" s="34" t="inlineStr">
        <is>
          <t>Validação, instalador e entrega (IN.1–IN.6)</t>
        </is>
      </c>
      <c r="C34" s="46">
        <f>IF(F34=E34,"Concluído",IF(F34+G34&gt;0,"Em andamento",IF(H34&gt;0,"Autorizado","Não iniciado")))</f>
        <v/>
      </c>
      <c r="D34" s="47">
        <f>IFERROR(F34/E34,0)</f>
        <v/>
      </c>
      <c r="E34" s="49">
        <f>COUNTIF(Build!$B$2:$B$300,"IN")-(COUNTIFS(Build!$B$2:$B$300,"IN",Build!$F$2:$F$300,"Cancelado*")+COUNTIFS(Build!$B$2:$B$300,"IN",Build!$F$2:$F$300,"Sob demanda*"))</f>
        <v/>
      </c>
      <c r="F34" s="49">
        <f>COUNTIFS(Build!$B$2:$B$300,"IN",Build!$F$2:$F$300,"Concluído")</f>
        <v/>
      </c>
      <c r="G34" s="49">
        <f>COUNTIFS(Build!$B$2:$B$300,"IN",Build!$F$2:$F$300,"Em andamento")</f>
        <v/>
      </c>
      <c r="H34" s="48">
        <f>COUNTIFS(Build!$B$2:$B$300,"IN",Build!$F$2:$F$300,"Autorizado (pré-trabalho)")</f>
        <v/>
      </c>
      <c r="I34" s="49">
        <f>COUNTIFS(Build!$B$2:$B$300,"IN",Build!$F$2:$F$300,"Aguarda aprovação do plano")</f>
        <v/>
      </c>
      <c r="J34" s="34" t="n"/>
      <c r="K34" s="34" t="inlineStr">
        <is>
          <t>Pacote, dmg e desinstalador em uso (0.2.2); IN.1/IN.6 cancelados (sem assinatura); IN.2/IN.4 sob demanda.</t>
        </is>
      </c>
      <c r="L34" s="34" t="inlineStr">
        <is>
          <t>—</t>
        </is>
      </c>
    </row>
    <row r="35"/>
    <row r="36">
      <c r="A36" s="24" t="inlineStr">
        <is>
          <t>Ramos principais (por parte do system-map)</t>
        </is>
      </c>
    </row>
    <row r="37">
      <c r="A37" s="45" t="inlineStr">
        <is>
          <t>Ramo</t>
        </is>
      </c>
      <c r="B37" s="45" t="inlineStr">
        <is>
          <t>Descrição</t>
        </is>
      </c>
      <c r="C37" s="45" t="inlineStr">
        <is>
          <t>Estado</t>
        </is>
      </c>
      <c r="D37" s="45" t="inlineStr">
        <is>
          <t>% fechado</t>
        </is>
      </c>
      <c r="E37" s="45" t="inlineStr">
        <is>
          <t>Itens</t>
        </is>
      </c>
      <c r="F37" s="45" t="inlineStr">
        <is>
          <t>Fechados</t>
        </is>
      </c>
      <c r="G37" s="45" t="inlineStr">
        <is>
          <t>Abertos</t>
        </is>
      </c>
      <c r="H37" s="45" t="inlineStr">
        <is>
          <t>Pend. correção</t>
        </is>
      </c>
      <c r="I37" s="45" t="inlineStr">
        <is>
          <t>Não audit.</t>
        </is>
      </c>
      <c r="J37" s="45" t="inlineStr">
        <is>
          <t>Flags abertas</t>
        </is>
      </c>
      <c r="K37" s="45" t="inlineStr">
        <is>
          <t>O que falta</t>
        </is>
      </c>
      <c r="L37" s="45" t="inlineStr">
        <is>
          <t>Confiança média</t>
        </is>
      </c>
    </row>
    <row r="38" ht="30" customHeight="1" s="21">
      <c r="A38" s="46" t="inlineStr">
        <is>
          <t>A1</t>
        </is>
      </c>
      <c r="B38" s="34" t="inlineStr">
        <is>
          <t>Kext: classes, DCL, HSCI, mixer, user-client</t>
        </is>
      </c>
      <c r="C38" s="46">
        <f>IF(D38&gt;=1,"Fechado",IF(G38+H38&gt;0,"Com pendência",IF(I38&gt;0,"Parcial","Em dia")))</f>
        <v/>
      </c>
      <c r="D38" s="47">
        <f>IFERROR(F38/E38,0)</f>
        <v/>
      </c>
      <c r="E38" s="49">
        <f>COUNTIF(Itens!$B$2:$B$500,A38)</f>
        <v/>
      </c>
      <c r="F38" s="49">
        <f>COUNTIFS(Itens!$B$2:$B$500,A38,Itens!$K$2:$K$500,"Consistente")+COUNTIFS(Itens!$B$2:$B$500,A38,Itens!$K$2:$K$500,"Corrigido 2026-10-14")+COUNTIFS(Itens!$B$2:$B$500,A38,Itens!$K$2:$K$500,"Corrigido 2026-10-15")+COUNTIFS(Itens!$B$2:$B$500,A38,Itens!$K$2:$K$500,"Corrigido 2026-10-16")+COUNTIFS(Itens!$B$2:$B$500,A38,Itens!$K$2:$K$500,"Corrigido 2026-10-09")</f>
        <v/>
      </c>
      <c r="G38" s="49">
        <f>COUNTIFS(Itens!$B$2:$B$500,A38,Itens!$K$2:$K$500,"Aberto / não resolvido")</f>
        <v/>
      </c>
      <c r="H38" s="49">
        <f>COUNTIFS(Itens!$B$2:$B$500,A38,Itens!$K$2:$K$500,"Correção pendente (audit)")</f>
        <v/>
      </c>
      <c r="I38" s="49">
        <f>COUNTIFS(Itens!$B$2:$B$500,A38,Itens!$K$2:$K$500,"Não auditado")</f>
        <v/>
      </c>
      <c r="J38" s="49">
        <f>COUNTIFS(Flags_auditoria!$K$2:$K$500,A38,Flags_auditoria!$H$2:$H$500,"Aberto")</f>
        <v/>
      </c>
      <c r="K38" s="34" t="inlineStr">
        <is>
          <t>A1-Q-DCL.9: aceitação do DCL no 10.13.6 (só no teste integrado). A1-Q3a.5: quem inicia os canais (Q-START). A1-Q17.2: hipótese 0xCF.</t>
        </is>
      </c>
      <c r="L38" s="50">
        <f>IFERROR(AVERAGEIF(Itens!$B$2:$B$500,A38,Itens!$L$2:$L$500),0)</f>
        <v/>
      </c>
    </row>
    <row r="39" ht="30" customHeight="1" s="21">
      <c r="A39" s="46" t="inlineStr">
        <is>
          <t>A2</t>
        </is>
      </c>
      <c r="B39" s="34" t="inlineStr">
        <is>
          <t>Painel Carbon/NIB (chaves MA*, medidores)</t>
        </is>
      </c>
      <c r="C39" s="46">
        <f>IF(D39&gt;=1,"Fechado",IF(G39+H39&gt;0,"Com pendência",IF(I39&gt;0,"Parcial","Em dia")))</f>
        <v/>
      </c>
      <c r="D39" s="47">
        <f>IFERROR(F39/E39,0)</f>
        <v/>
      </c>
      <c r="E39" s="49">
        <f>COUNTIF(Itens!$B$2:$B$500,A39)</f>
        <v/>
      </c>
      <c r="F39" s="49">
        <f>COUNTIFS(Itens!$B$2:$B$500,A39,Itens!$K$2:$K$500,"Consistente")+COUNTIFS(Itens!$B$2:$B$500,A39,Itens!$K$2:$K$500,"Corrigido 2026-10-14")+COUNTIFS(Itens!$B$2:$B$500,A39,Itens!$K$2:$K$500,"Corrigido 2026-10-15")+COUNTIFS(Itens!$B$2:$B$500,A39,Itens!$K$2:$K$500,"Corrigido 2026-10-16")+COUNTIFS(Itens!$B$2:$B$500,A39,Itens!$K$2:$K$500,"Corrigido 2026-10-09")</f>
        <v/>
      </c>
      <c r="G39" s="49">
        <f>COUNTIFS(Itens!$B$2:$B$500,A39,Itens!$K$2:$K$500,"Aberto / não resolvido")</f>
        <v/>
      </c>
      <c r="H39" s="49">
        <f>COUNTIFS(Itens!$B$2:$B$500,A39,Itens!$K$2:$K$500,"Correção pendente (audit)")</f>
        <v/>
      </c>
      <c r="I39" s="49">
        <f>COUNTIFS(Itens!$B$2:$B$500,A39,Itens!$K$2:$K$500,"Não auditado")</f>
        <v/>
      </c>
      <c r="J39" s="49">
        <f>COUNTIFS(Flags_auditoria!$K$2:$K$500,A39,Flags_auditoria!$H$2:$H$500,"Aberto")</f>
        <v/>
      </c>
      <c r="K39" s="34" t="inlineStr">
        <is>
          <t>—</t>
        </is>
      </c>
      <c r="L39" s="50">
        <f>IFERROR(AVERAGEIF(Itens!$B$2:$B$500,A39,Itens!$L$2:$L$500),0)</f>
        <v/>
      </c>
    </row>
    <row r="40" ht="30" customHeight="1" s="21">
      <c r="A40" s="46" t="inlineStr">
        <is>
          <t>A3</t>
        </is>
      </c>
      <c r="B40" s="34" t="inlineStr">
        <is>
          <t>Plug-in CoreMIDI</t>
        </is>
      </c>
      <c r="C40" s="46">
        <f>IF(D40&gt;=1,"Fechado",IF(G40+H40&gt;0,"Com pendência",IF(I40&gt;0,"Parcial","Em dia")))</f>
        <v/>
      </c>
      <c r="D40" s="47">
        <f>IFERROR(F40/E40,0)</f>
        <v/>
      </c>
      <c r="E40" s="49">
        <f>COUNTIF(Itens!$B$2:$B$500,A40)</f>
        <v/>
      </c>
      <c r="F40" s="49">
        <f>COUNTIFS(Itens!$B$2:$B$500,A40,Itens!$K$2:$K$500,"Consistente")+COUNTIFS(Itens!$B$2:$B$500,A40,Itens!$K$2:$K$500,"Corrigido 2026-10-14")+COUNTIFS(Itens!$B$2:$B$500,A40,Itens!$K$2:$K$500,"Corrigido 2026-10-15")+COUNTIFS(Itens!$B$2:$B$500,A40,Itens!$K$2:$K$500,"Corrigido 2026-10-16")+COUNTIFS(Itens!$B$2:$B$500,A40,Itens!$K$2:$K$500,"Corrigido 2026-10-09")</f>
        <v/>
      </c>
      <c r="G40" s="49">
        <f>COUNTIFS(Itens!$B$2:$B$500,A40,Itens!$K$2:$K$500,"Aberto / não resolvido")</f>
        <v/>
      </c>
      <c r="H40" s="49">
        <f>COUNTIFS(Itens!$B$2:$B$500,A40,Itens!$K$2:$K$500,"Correção pendente (audit)")</f>
        <v/>
      </c>
      <c r="I40" s="49">
        <f>COUNTIFS(Itens!$B$2:$B$500,A40,Itens!$K$2:$K$500,"Não auditado")</f>
        <v/>
      </c>
      <c r="J40" s="49">
        <f>COUNTIFS(Flags_auditoria!$K$2:$K$500,A40,Flags_auditoria!$H$2:$H$500,"Aberto")</f>
        <v/>
      </c>
      <c r="K40" s="34" t="inlineStr">
        <is>
          <t>—</t>
        </is>
      </c>
      <c r="L40" s="50">
        <f>IFERROR(AVERAGEIF(Itens!$B$2:$B$500,A40,Itens!$L$2:$L$500),0)</f>
        <v/>
      </c>
    </row>
    <row r="41" ht="30" customHeight="1" s="21">
      <c r="A41" s="46" t="inlineStr">
        <is>
          <t>A4</t>
        </is>
      </c>
      <c r="B41" s="34" t="inlineStr">
        <is>
          <t>Helper de firmware</t>
        </is>
      </c>
      <c r="C41" s="46">
        <f>IF(D41&gt;=1,"Fechado",IF(G41+H41&gt;0,"Com pendência",IF(I41&gt;0,"Parcial","Em dia")))</f>
        <v/>
      </c>
      <c r="D41" s="47">
        <f>IFERROR(F41/E41,0)</f>
        <v/>
      </c>
      <c r="E41" s="49">
        <f>COUNTIF(Itens!$B$2:$B$500,A41)</f>
        <v/>
      </c>
      <c r="F41" s="49">
        <f>COUNTIFS(Itens!$B$2:$B$500,A41,Itens!$K$2:$K$500,"Consistente")+COUNTIFS(Itens!$B$2:$B$500,A41,Itens!$K$2:$K$500,"Corrigido 2026-10-14")+COUNTIFS(Itens!$B$2:$B$500,A41,Itens!$K$2:$K$500,"Corrigido 2026-10-15")+COUNTIFS(Itens!$B$2:$B$500,A41,Itens!$K$2:$K$500,"Corrigido 2026-10-16")+COUNTIFS(Itens!$B$2:$B$500,A41,Itens!$K$2:$K$500,"Corrigido 2026-10-09")</f>
        <v/>
      </c>
      <c r="G41" s="49">
        <f>COUNTIFS(Itens!$B$2:$B$500,A41,Itens!$K$2:$K$500,"Aberto / não resolvido")</f>
        <v/>
      </c>
      <c r="H41" s="49">
        <f>COUNTIFS(Itens!$B$2:$B$500,A41,Itens!$K$2:$K$500,"Correção pendente (audit)")</f>
        <v/>
      </c>
      <c r="I41" s="49">
        <f>COUNTIFS(Itens!$B$2:$B$500,A41,Itens!$K$2:$K$500,"Não auditado")</f>
        <v/>
      </c>
      <c r="J41" s="49">
        <f>COUNTIFS(Flags_auditoria!$K$2:$K$500,A41,Flags_auditoria!$H$2:$H$500,"Aberto")</f>
        <v/>
      </c>
      <c r="K41" s="34" t="inlineStr">
        <is>
          <t>—</t>
        </is>
      </c>
      <c r="L41" s="50">
        <f>IFERROR(AVERAGEIF(Itens!$B$2:$B$500,A41,Itens!$L$2:$L$500),0)</f>
        <v/>
      </c>
    </row>
    <row r="42" ht="30" customHeight="1" s="21">
      <c r="A42" s="46" t="inlineStr">
        <is>
          <t>A5</t>
        </is>
      </c>
      <c r="B42" s="34" t="inlineStr">
        <is>
          <t>Envelope de firmware .bcd</t>
        </is>
      </c>
      <c r="C42" s="46">
        <f>IF(D42&gt;=1,"Fechado",IF(G42+H42&gt;0,"Com pendência",IF(I42&gt;0,"Parcial","Em dia")))</f>
        <v/>
      </c>
      <c r="D42" s="47">
        <f>IFERROR(F42/E42,0)</f>
        <v/>
      </c>
      <c r="E42" s="49">
        <f>COUNTIF(Itens!$B$2:$B$500,A42)</f>
        <v/>
      </c>
      <c r="F42" s="49">
        <f>COUNTIFS(Itens!$B$2:$B$500,A42,Itens!$K$2:$K$500,"Consistente")+COUNTIFS(Itens!$B$2:$B$500,A42,Itens!$K$2:$K$500,"Corrigido 2026-10-14")+COUNTIFS(Itens!$B$2:$B$500,A42,Itens!$K$2:$K$500,"Corrigido 2026-10-15")+COUNTIFS(Itens!$B$2:$B$500,A42,Itens!$K$2:$K$500,"Corrigido 2026-10-16")+COUNTIFS(Itens!$B$2:$B$500,A42,Itens!$K$2:$K$500,"Corrigido 2026-10-09")</f>
        <v/>
      </c>
      <c r="G42" s="49">
        <f>COUNTIFS(Itens!$B$2:$B$500,A42,Itens!$K$2:$K$500,"Aberto / não resolvido")</f>
        <v/>
      </c>
      <c r="H42" s="49">
        <f>COUNTIFS(Itens!$B$2:$B$500,A42,Itens!$K$2:$K$500,"Correção pendente (audit)")</f>
        <v/>
      </c>
      <c r="I42" s="49">
        <f>COUNTIFS(Itens!$B$2:$B$500,A42,Itens!$K$2:$K$500,"Não auditado")</f>
        <v/>
      </c>
      <c r="J42" s="49">
        <f>COUNTIFS(Flags_auditoria!$K$2:$K$500,A42,Flags_auditoria!$H$2:$H$500,"Aberto")</f>
        <v/>
      </c>
      <c r="K42" s="34" t="inlineStr">
        <is>
          <t>—</t>
        </is>
      </c>
      <c r="L42" s="50">
        <f>IFERROR(AVERAGEIF(Itens!$B$2:$B$500,A42,Itens!$L$2:$L$500),0)</f>
        <v/>
      </c>
    </row>
    <row r="43" ht="30" customHeight="1" s="21">
      <c r="A43" s="46" t="inlineStr">
        <is>
          <t>A6</t>
        </is>
      </c>
      <c r="B43" s="34" t="inlineStr">
        <is>
          <t>Prefpane</t>
        </is>
      </c>
      <c r="C43" s="46">
        <f>IF(D43&gt;=1,"Fechado",IF(G43+H43&gt;0,"Com pendência",IF(I43&gt;0,"Parcial","Em dia")))</f>
        <v/>
      </c>
      <c r="D43" s="47">
        <f>IFERROR(F43/E43,0)</f>
        <v/>
      </c>
      <c r="E43" s="49">
        <f>COUNTIF(Itens!$B$2:$B$500,A43)</f>
        <v/>
      </c>
      <c r="F43" s="49">
        <f>COUNTIFS(Itens!$B$2:$B$500,A43,Itens!$K$2:$K$500,"Consistente")+COUNTIFS(Itens!$B$2:$B$500,A43,Itens!$K$2:$K$500,"Corrigido 2026-10-14")+COUNTIFS(Itens!$B$2:$B$500,A43,Itens!$K$2:$K$500,"Corrigido 2026-10-15")+COUNTIFS(Itens!$B$2:$B$500,A43,Itens!$K$2:$K$500,"Corrigido 2026-10-16")+COUNTIFS(Itens!$B$2:$B$500,A43,Itens!$K$2:$K$500,"Corrigido 2026-10-09")</f>
        <v/>
      </c>
      <c r="G43" s="49">
        <f>COUNTIFS(Itens!$B$2:$B$500,A43,Itens!$K$2:$K$500,"Aberto / não resolvido")</f>
        <v/>
      </c>
      <c r="H43" s="49">
        <f>COUNTIFS(Itens!$B$2:$B$500,A43,Itens!$K$2:$K$500,"Correção pendente (audit)")</f>
        <v/>
      </c>
      <c r="I43" s="49">
        <f>COUNTIFS(Itens!$B$2:$B$500,A43,Itens!$K$2:$K$500,"Não auditado")</f>
        <v/>
      </c>
      <c r="J43" s="49">
        <f>COUNTIFS(Flags_auditoria!$K$2:$K$500,A43,Flags_auditoria!$H$2:$H$500,"Aberto")</f>
        <v/>
      </c>
      <c r="K43" s="34" t="inlineStr">
        <is>
          <t>—</t>
        </is>
      </c>
      <c r="L43" s="50">
        <f>IFERROR(AVERAGEIF(Itens!$B$2:$B$500,A43,Itens!$L$2:$L$500),0)</f>
        <v/>
      </c>
    </row>
    <row r="44" ht="30" customHeight="1" s="21">
      <c r="A44" s="46" t="inlineStr">
        <is>
          <t>B1</t>
        </is>
      </c>
      <c r="B44" s="34" t="inlineStr">
        <is>
          <t>FFADO</t>
        </is>
      </c>
      <c r="C44" s="46">
        <f>IF(D44&gt;=1,"Fechado",IF(G44+H44&gt;0,"Com pendência",IF(I44&gt;0,"Parcial","Em dia")))</f>
        <v/>
      </c>
      <c r="D44" s="47">
        <f>IFERROR(F44/E44,0)</f>
        <v/>
      </c>
      <c r="E44" s="49">
        <f>COUNTIF(Itens!$B$2:$B$500,A44)</f>
        <v/>
      </c>
      <c r="F44" s="49">
        <f>COUNTIFS(Itens!$B$2:$B$500,A44,Itens!$K$2:$K$500,"Consistente")+COUNTIFS(Itens!$B$2:$B$500,A44,Itens!$K$2:$K$500,"Corrigido 2026-10-14")+COUNTIFS(Itens!$B$2:$B$500,A44,Itens!$K$2:$K$500,"Corrigido 2026-10-15")+COUNTIFS(Itens!$B$2:$B$500,A44,Itens!$K$2:$K$500,"Corrigido 2026-10-16")+COUNTIFS(Itens!$B$2:$B$500,A44,Itens!$K$2:$K$500,"Corrigido 2026-10-09")</f>
        <v/>
      </c>
      <c r="G44" s="49">
        <f>COUNTIFS(Itens!$B$2:$B$500,A44,Itens!$K$2:$K$500,"Aberto / não resolvido")</f>
        <v/>
      </c>
      <c r="H44" s="49">
        <f>COUNTIFS(Itens!$B$2:$B$500,A44,Itens!$K$2:$K$500,"Correção pendente (audit)")</f>
        <v/>
      </c>
      <c r="I44" s="49">
        <f>COUNTIFS(Itens!$B$2:$B$500,A44,Itens!$K$2:$K$500,"Não auditado")</f>
        <v/>
      </c>
      <c r="J44" s="49">
        <f>COUNTIFS(Flags_auditoria!$K$2:$K$500,A44,Flags_auditoria!$H$2:$H$500,"Aberto")</f>
        <v/>
      </c>
      <c r="K44" s="34" t="inlineStr">
        <is>
          <t>—</t>
        </is>
      </c>
      <c r="L44" s="50">
        <f>IFERROR(AVERAGEIF(Itens!$B$2:$B$500,A44,Itens!$L$2:$L$500),0)</f>
        <v/>
      </c>
    </row>
    <row r="45" ht="30" customHeight="1" s="21">
      <c r="A45" s="46" t="inlineStr">
        <is>
          <t>B2</t>
        </is>
      </c>
      <c r="B45" s="34" t="inlineStr">
        <is>
          <t>snd-bebob (Linux)</t>
        </is>
      </c>
      <c r="C45" s="46">
        <f>IF(D45&gt;=1,"Fechado",IF(G45+H45&gt;0,"Com pendência",IF(I45&gt;0,"Parcial","Em dia")))</f>
        <v/>
      </c>
      <c r="D45" s="47">
        <f>IFERROR(F45/E45,0)</f>
        <v/>
      </c>
      <c r="E45" s="49">
        <f>COUNTIF(Itens!$B$2:$B$500,A45)</f>
        <v/>
      </c>
      <c r="F45" s="49">
        <f>COUNTIFS(Itens!$B$2:$B$500,A45,Itens!$K$2:$K$500,"Consistente")+COUNTIFS(Itens!$B$2:$B$500,A45,Itens!$K$2:$K$500,"Corrigido 2026-10-14")+COUNTIFS(Itens!$B$2:$B$500,A45,Itens!$K$2:$K$500,"Corrigido 2026-10-15")+COUNTIFS(Itens!$B$2:$B$500,A45,Itens!$K$2:$K$500,"Corrigido 2026-10-16")+COUNTIFS(Itens!$B$2:$B$500,A45,Itens!$K$2:$K$500,"Corrigido 2026-10-09")</f>
        <v/>
      </c>
      <c r="G45" s="49">
        <f>COUNTIFS(Itens!$B$2:$B$500,A45,Itens!$K$2:$K$500,"Aberto / não resolvido")</f>
        <v/>
      </c>
      <c r="H45" s="49">
        <f>COUNTIFS(Itens!$B$2:$B$500,A45,Itens!$K$2:$K$500,"Correção pendente (audit)")</f>
        <v/>
      </c>
      <c r="I45" s="49">
        <f>COUNTIFS(Itens!$B$2:$B$500,A45,Itens!$K$2:$K$500,"Não auditado")</f>
        <v/>
      </c>
      <c r="J45" s="49">
        <f>COUNTIFS(Flags_auditoria!$K$2:$K$500,A45,Flags_auditoria!$H$2:$H$500,"Aberto")</f>
        <v/>
      </c>
      <c r="K45" s="34" t="inlineStr">
        <is>
          <t>B2.2: snd-bebob: lacunas no A1</t>
        </is>
      </c>
      <c r="L45" s="50">
        <f>IFERROR(AVERAGEIF(Itens!$B$2:$B$500,A45,Itens!$L$2:$L$500),0)</f>
        <v/>
      </c>
    </row>
    <row r="46" ht="30" customHeight="1" s="21">
      <c r="A46" s="46" t="inlineStr">
        <is>
          <t>B2a</t>
        </is>
      </c>
      <c r="B46" s="34" t="inlineStr">
        <is>
          <t>Crate Rust snd-firewire-ctl-services</t>
        </is>
      </c>
      <c r="C46" s="46">
        <f>IF(D46&gt;=1,"Fechado",IF(G46+H46&gt;0,"Com pendência",IF(I46&gt;0,"Parcial","Em dia")))</f>
        <v/>
      </c>
      <c r="D46" s="47">
        <f>IFERROR(F46/E46,0)</f>
        <v/>
      </c>
      <c r="E46" s="49">
        <f>COUNTIF(Itens!$B$2:$B$500,A46)</f>
        <v/>
      </c>
      <c r="F46" s="49">
        <f>COUNTIFS(Itens!$B$2:$B$500,A46,Itens!$K$2:$K$500,"Consistente")+COUNTIFS(Itens!$B$2:$B$500,A46,Itens!$K$2:$K$500,"Corrigido 2026-10-14")+COUNTIFS(Itens!$B$2:$B$500,A46,Itens!$K$2:$K$500,"Corrigido 2026-10-15")+COUNTIFS(Itens!$B$2:$B$500,A46,Itens!$K$2:$K$500,"Corrigido 2026-10-16")+COUNTIFS(Itens!$B$2:$B$500,A46,Itens!$K$2:$K$500,"Corrigido 2026-10-09")</f>
        <v/>
      </c>
      <c r="G46" s="49">
        <f>COUNTIFS(Itens!$B$2:$B$500,A46,Itens!$K$2:$K$500,"Aberto / não resolvido")</f>
        <v/>
      </c>
      <c r="H46" s="49">
        <f>COUNTIFS(Itens!$B$2:$B$500,A46,Itens!$K$2:$K$500,"Correção pendente (audit)")</f>
        <v/>
      </c>
      <c r="I46" s="49">
        <f>COUNTIFS(Itens!$B$2:$B$500,A46,Itens!$K$2:$K$500,"Não auditado")</f>
        <v/>
      </c>
      <c r="J46" s="49">
        <f>COUNTIFS(Flags_auditoria!$K$2:$K$500,A46,Flags_auditoria!$H$2:$H$500,"Aberto")</f>
        <v/>
      </c>
      <c r="K46" s="34" t="inlineStr">
        <is>
          <t>—</t>
        </is>
      </c>
      <c r="L46" s="50">
        <f>IFERROR(AVERAGEIF(Itens!$B$2:$B$500,A46,Itens!$L$2:$L$500),0)</f>
        <v/>
      </c>
    </row>
    <row r="47" ht="30" customHeight="1" s="21">
      <c r="A47" s="46" t="inlineStr">
        <is>
          <t>B3</t>
        </is>
      </c>
      <c r="B47" s="34" t="inlineStr">
        <is>
          <t>Hack kextload Sierra</t>
        </is>
      </c>
      <c r="C47" s="46">
        <f>IF(D47&gt;=1,"Fechado",IF(G47+H47&gt;0,"Com pendência",IF(I47&gt;0,"Parcial","Em dia")))</f>
        <v/>
      </c>
      <c r="D47" s="47">
        <f>IFERROR(F47/E47,0)</f>
        <v/>
      </c>
      <c r="E47" s="49">
        <f>COUNTIF(Itens!$B$2:$B$500,A47)</f>
        <v/>
      </c>
      <c r="F47" s="49">
        <f>COUNTIFS(Itens!$B$2:$B$500,A47,Itens!$K$2:$K$500,"Consistente")+COUNTIFS(Itens!$B$2:$B$500,A47,Itens!$K$2:$K$500,"Corrigido 2026-10-14")+COUNTIFS(Itens!$B$2:$B$500,A47,Itens!$K$2:$K$500,"Corrigido 2026-10-15")+COUNTIFS(Itens!$B$2:$B$500,A47,Itens!$K$2:$K$500,"Corrigido 2026-10-16")+COUNTIFS(Itens!$B$2:$B$500,A47,Itens!$K$2:$K$500,"Corrigido 2026-10-09")</f>
        <v/>
      </c>
      <c r="G47" s="49">
        <f>COUNTIFS(Itens!$B$2:$B$500,A47,Itens!$K$2:$K$500,"Aberto / não resolvido")</f>
        <v/>
      </c>
      <c r="H47" s="49">
        <f>COUNTIFS(Itens!$B$2:$B$500,A47,Itens!$K$2:$K$500,"Correção pendente (audit)")</f>
        <v/>
      </c>
      <c r="I47" s="49">
        <f>COUNTIFS(Itens!$B$2:$B$500,A47,Itens!$K$2:$K$500,"Não auditado")</f>
        <v/>
      </c>
      <c r="J47" s="49">
        <f>COUNTIFS(Flags_auditoria!$K$2:$K$500,A47,Flags_auditoria!$H$2:$H$500,"Aberto")</f>
        <v/>
      </c>
      <c r="K47" s="34" t="inlineStr">
        <is>
          <t>—</t>
        </is>
      </c>
      <c r="L47" s="50">
        <f>IFERROR(AVERAGEIF(Itens!$B$2:$B$500,A47,Itens!$L$2:$L$500),0)</f>
        <v/>
      </c>
    </row>
    <row r="48" ht="30" customHeight="1" s="21">
      <c r="A48" s="46" t="inlineStr">
        <is>
          <t>B4</t>
        </is>
      </c>
      <c r="B48" s="34" t="inlineStr">
        <is>
          <t>macfw</t>
        </is>
      </c>
      <c r="C48" s="46">
        <f>IF(D48&gt;=1,"Fechado",IF(G48+H48&gt;0,"Com pendência",IF(I48&gt;0,"Parcial","Em dia")))</f>
        <v/>
      </c>
      <c r="D48" s="47">
        <f>IFERROR(F48/E48,0)</f>
        <v/>
      </c>
      <c r="E48" s="49">
        <f>COUNTIF(Itens!$B$2:$B$500,A48)</f>
        <v/>
      </c>
      <c r="F48" s="49">
        <f>COUNTIFS(Itens!$B$2:$B$500,A48,Itens!$K$2:$K$500,"Consistente")+COUNTIFS(Itens!$B$2:$B$500,A48,Itens!$K$2:$K$500,"Corrigido 2026-10-14")+COUNTIFS(Itens!$B$2:$B$500,A48,Itens!$K$2:$K$500,"Corrigido 2026-10-15")+COUNTIFS(Itens!$B$2:$B$500,A48,Itens!$K$2:$K$500,"Corrigido 2026-10-16")+COUNTIFS(Itens!$B$2:$B$500,A48,Itens!$K$2:$K$500,"Corrigido 2026-10-09")</f>
        <v/>
      </c>
      <c r="G48" s="49">
        <f>COUNTIFS(Itens!$B$2:$B$500,A48,Itens!$K$2:$K$500,"Aberto / não resolvido")</f>
        <v/>
      </c>
      <c r="H48" s="49">
        <f>COUNTIFS(Itens!$B$2:$B$500,A48,Itens!$K$2:$K$500,"Correção pendente (audit)")</f>
        <v/>
      </c>
      <c r="I48" s="49">
        <f>COUNTIFS(Itens!$B$2:$B$500,A48,Itens!$K$2:$K$500,"Não auditado")</f>
        <v/>
      </c>
      <c r="J48" s="49">
        <f>COUNTIFS(Flags_auditoria!$K$2:$K$500,A48,Flags_auditoria!$H$2:$H$500,"Aberto")</f>
        <v/>
      </c>
      <c r="K48" s="34" t="inlineStr">
        <is>
          <t>—</t>
        </is>
      </c>
      <c r="L48" s="50">
        <f>IFERROR(AVERAGEIF(Itens!$B$2:$B$500,A48,Itens!$L$2:$L$500),0)</f>
        <v/>
      </c>
    </row>
    <row r="49" ht="30" customHeight="1" s="21">
      <c r="A49" s="46" t="inlineStr">
        <is>
          <t>B5</t>
        </is>
      </c>
      <c r="B49" s="34" t="inlineStr">
        <is>
          <t>DTrace/ioreg no SL (v1.9)</t>
        </is>
      </c>
      <c r="C49" s="46">
        <f>IF(D49&gt;=1,"Fechado",IF(G49+H49&gt;0,"Com pendência",IF(I49&gt;0,"Parcial","Em dia")))</f>
        <v/>
      </c>
      <c r="D49" s="47">
        <f>IFERROR(F49/E49,0)</f>
        <v/>
      </c>
      <c r="E49" s="49">
        <f>COUNTIF(Itens!$B$2:$B$500,A49)</f>
        <v/>
      </c>
      <c r="F49" s="49">
        <f>COUNTIFS(Itens!$B$2:$B$500,A49,Itens!$K$2:$K$500,"Consistente")+COUNTIFS(Itens!$B$2:$B$500,A49,Itens!$K$2:$K$500,"Corrigido 2026-10-14")+COUNTIFS(Itens!$B$2:$B$500,A49,Itens!$K$2:$K$500,"Corrigido 2026-10-15")+COUNTIFS(Itens!$B$2:$B$500,A49,Itens!$K$2:$K$500,"Corrigido 2026-10-16")+COUNTIFS(Itens!$B$2:$B$500,A49,Itens!$K$2:$K$500,"Corrigido 2026-10-09")</f>
        <v/>
      </c>
      <c r="G49" s="49">
        <f>COUNTIFS(Itens!$B$2:$B$500,A49,Itens!$K$2:$K$500,"Aberto / não resolvido")</f>
        <v/>
      </c>
      <c r="H49" s="49">
        <f>COUNTIFS(Itens!$B$2:$B$500,A49,Itens!$K$2:$K$500,"Correção pendente (audit)")</f>
        <v/>
      </c>
      <c r="I49" s="49">
        <f>COUNTIFS(Itens!$B$2:$B$500,A49,Itens!$K$2:$K$500,"Não auditado")</f>
        <v/>
      </c>
      <c r="J49" s="49">
        <f>COUNTIFS(Flags_auditoria!$K$2:$K$500,A49,Flags_auditoria!$H$2:$H$500,"Aberto")</f>
        <v/>
      </c>
      <c r="K49" s="34" t="inlineStr">
        <is>
          <t>B5.6: Pânico do v1.9 em troca de taxa com stream ativo</t>
        </is>
      </c>
      <c r="L49" s="50">
        <f>IFERROR(AVERAGEIF(Itens!$B$2:$B$500,A49,Itens!$L$2:$L$500),0)</f>
        <v/>
      </c>
    </row>
    <row r="50" ht="30" customHeight="1" s="21">
      <c r="A50" s="46" t="inlineStr">
        <is>
          <t>STATE</t>
        </is>
      </c>
      <c r="B50" s="34" t="inlineStr">
        <is>
          <t>Primitivas conhecidas (STATE.md)</t>
        </is>
      </c>
      <c r="C50" s="46">
        <f>IF(D50&gt;=1,"Fechado",IF(G50+H50&gt;0,"Com pendência",IF(I50&gt;0,"Parcial","Em dia")))</f>
        <v/>
      </c>
      <c r="D50" s="47">
        <f>IFERROR(F50/E50,0)</f>
        <v/>
      </c>
      <c r="E50" s="49">
        <f>COUNTIF(Itens!$B$2:$B$500,A50)</f>
        <v/>
      </c>
      <c r="F50" s="49">
        <f>COUNTIFS(Itens!$B$2:$B$500,A50,Itens!$K$2:$K$500,"Consistente")+COUNTIFS(Itens!$B$2:$B$500,A50,Itens!$K$2:$K$500,"Corrigido 2026-10-14")+COUNTIFS(Itens!$B$2:$B$500,A50,Itens!$K$2:$K$500,"Corrigido 2026-10-15")+COUNTIFS(Itens!$B$2:$B$500,A50,Itens!$K$2:$K$500,"Corrigido 2026-10-16")+COUNTIFS(Itens!$B$2:$B$500,A50,Itens!$K$2:$K$500,"Corrigido 2026-10-09")</f>
        <v/>
      </c>
      <c r="G50" s="49">
        <f>COUNTIFS(Itens!$B$2:$B$500,A50,Itens!$K$2:$K$500,"Aberto / não resolvido")</f>
        <v/>
      </c>
      <c r="H50" s="49">
        <f>COUNTIFS(Itens!$B$2:$B$500,A50,Itens!$K$2:$K$500,"Correção pendente (audit)")</f>
        <v/>
      </c>
      <c r="I50" s="49">
        <f>COUNTIFS(Itens!$B$2:$B$500,A50,Itens!$K$2:$K$500,"Não auditado")</f>
        <v/>
      </c>
      <c r="J50" s="49">
        <f>COUNTIFS(Flags_auditoria!$K$2:$K$500,A50,Flags_auditoria!$H$2:$H$500,"Aberto")</f>
        <v/>
      </c>
      <c r="K50" s="34" t="inlineStr">
        <is>
          <t>—</t>
        </is>
      </c>
      <c r="L50" s="50">
        <f>IFERROR(AVERAGEIF(Itens!$B$2:$B$500,A50,Itens!$L$2:$L$500),0)</f>
        <v/>
      </c>
    </row>
    <row r="51" ht="30" customHeight="1" s="21">
      <c r="A51" s="46" t="inlineStr">
        <is>
          <t>C1</t>
        </is>
      </c>
      <c r="B51" s="34" t="inlineStr">
        <is>
          <t>Máquina de estados do ciclo de vida</t>
        </is>
      </c>
      <c r="C51" s="46">
        <f>IF(D51&gt;=1,"Fechado",IF(G51+H51&gt;0,"Com pendência",IF(I51&gt;0,"Parcial","Em dia")))</f>
        <v/>
      </c>
      <c r="D51" s="47">
        <f>IFERROR(F51/E51,0)</f>
        <v/>
      </c>
      <c r="E51" s="49">
        <f>COUNTIF(Itens!$B$2:$B$500,A51)</f>
        <v/>
      </c>
      <c r="F51" s="49">
        <f>COUNTIFS(Itens!$B$2:$B$500,A51,Itens!$K$2:$K$500,"Consistente")+COUNTIFS(Itens!$B$2:$B$500,A51,Itens!$K$2:$K$500,"Corrigido 2026-10-14")+COUNTIFS(Itens!$B$2:$B$500,A51,Itens!$K$2:$K$500,"Corrigido 2026-10-15")+COUNTIFS(Itens!$B$2:$B$500,A51,Itens!$K$2:$K$500,"Corrigido 2026-10-16")+COUNTIFS(Itens!$B$2:$B$500,A51,Itens!$K$2:$K$500,"Corrigido 2026-10-09")</f>
        <v/>
      </c>
      <c r="G51" s="49">
        <f>COUNTIFS(Itens!$B$2:$B$500,A51,Itens!$K$2:$K$500,"Aberto / não resolvido")</f>
        <v/>
      </c>
      <c r="H51" s="49">
        <f>COUNTIFS(Itens!$B$2:$B$500,A51,Itens!$K$2:$K$500,"Correção pendente (audit)")</f>
        <v/>
      </c>
      <c r="I51" s="49">
        <f>COUNTIFS(Itens!$B$2:$B$500,A51,Itens!$K$2:$K$500,"Não auditado")</f>
        <v/>
      </c>
      <c r="J51" s="49">
        <f>COUNTIFS(Flags_auditoria!$K$2:$K$500,A51,Flags_auditoria!$H$2:$H$500,"Aberto")</f>
        <v/>
      </c>
      <c r="K51" s="34" t="inlineStr">
        <is>
          <t>—</t>
        </is>
      </c>
      <c r="L51" s="50">
        <f>IFERROR(AVERAGEIF(Itens!$B$2:$B$500,A51,Itens!$L$2:$L$500),0)</f>
        <v/>
      </c>
    </row>
    <row r="52" ht="30" customHeight="1" s="21">
      <c r="A52" s="46" t="inlineStr">
        <is>
          <t>C2</t>
        </is>
      </c>
      <c r="B52" s="34" t="inlineStr">
        <is>
          <t>Caminho de sync/clock</t>
        </is>
      </c>
      <c r="C52" s="46">
        <f>IF(D52&gt;=1,"Fechado",IF(G52+H52&gt;0,"Com pendência",IF(I52&gt;0,"Parcial","Em dia")))</f>
        <v/>
      </c>
      <c r="D52" s="47">
        <f>IFERROR(F52/E52,0)</f>
        <v/>
      </c>
      <c r="E52" s="49">
        <f>COUNTIF(Itens!$B$2:$B$500,A52)</f>
        <v/>
      </c>
      <c r="F52" s="49">
        <f>COUNTIFS(Itens!$B$2:$B$500,A52,Itens!$K$2:$K$500,"Consistente")+COUNTIFS(Itens!$B$2:$B$500,A52,Itens!$K$2:$K$500,"Corrigido 2026-10-14")+COUNTIFS(Itens!$B$2:$B$500,A52,Itens!$K$2:$K$500,"Corrigido 2026-10-15")+COUNTIFS(Itens!$B$2:$B$500,A52,Itens!$K$2:$K$500,"Corrigido 2026-10-16")+COUNTIFS(Itens!$B$2:$B$500,A52,Itens!$K$2:$K$500,"Corrigido 2026-10-09")</f>
        <v/>
      </c>
      <c r="G52" s="49">
        <f>COUNTIFS(Itens!$B$2:$B$500,A52,Itens!$K$2:$K$500,"Aberto / não resolvido")</f>
        <v/>
      </c>
      <c r="H52" s="49">
        <f>COUNTIFS(Itens!$B$2:$B$500,A52,Itens!$K$2:$K$500,"Correção pendente (audit)")</f>
        <v/>
      </c>
      <c r="I52" s="49">
        <f>COUNTIFS(Itens!$B$2:$B$500,A52,Itens!$K$2:$K$500,"Não auditado")</f>
        <v/>
      </c>
      <c r="J52" s="49">
        <f>COUNTIFS(Flags_auditoria!$K$2:$K$500,A52,Flags_auditoria!$H$2:$H$500,"Aberto")</f>
        <v/>
      </c>
      <c r="K52" s="34" t="inlineStr">
        <is>
          <t>C2.1: Caminho de sync</t>
        </is>
      </c>
      <c r="L52" s="50">
        <f>IFERROR(AVERAGEIF(Itens!$B$2:$B$500,A52,Itens!$L$2:$L$500),0)</f>
        <v/>
      </c>
    </row>
    <row r="53" ht="30" customHeight="1" s="21">
      <c r="A53" s="46" t="inlineStr">
        <is>
          <t>C3</t>
        </is>
      </c>
      <c r="B53" s="34" t="inlineStr">
        <is>
          <t>Caminho de comunicação</t>
        </is>
      </c>
      <c r="C53" s="46">
        <f>IF(D53&gt;=1,"Fechado",IF(G53+H53&gt;0,"Com pendência",IF(I53&gt;0,"Parcial","Em dia")))</f>
        <v/>
      </c>
      <c r="D53" s="47">
        <f>IFERROR(F53/E53,0)</f>
        <v/>
      </c>
      <c r="E53" s="49">
        <f>COUNTIF(Itens!$B$2:$B$500,A53)</f>
        <v/>
      </c>
      <c r="F53" s="49">
        <f>COUNTIFS(Itens!$B$2:$B$500,A53,Itens!$K$2:$K$500,"Consistente")+COUNTIFS(Itens!$B$2:$B$500,A53,Itens!$K$2:$K$500,"Corrigido 2026-10-14")+COUNTIFS(Itens!$B$2:$B$500,A53,Itens!$K$2:$K$500,"Corrigido 2026-10-15")+COUNTIFS(Itens!$B$2:$B$500,A53,Itens!$K$2:$K$500,"Corrigido 2026-10-16")+COUNTIFS(Itens!$B$2:$B$500,A53,Itens!$K$2:$K$500,"Corrigido 2026-10-09")</f>
        <v/>
      </c>
      <c r="G53" s="49">
        <f>COUNTIFS(Itens!$B$2:$B$500,A53,Itens!$K$2:$K$500,"Aberto / não resolvido")</f>
        <v/>
      </c>
      <c r="H53" s="49">
        <f>COUNTIFS(Itens!$B$2:$B$500,A53,Itens!$K$2:$K$500,"Correção pendente (audit)")</f>
        <v/>
      </c>
      <c r="I53" s="49">
        <f>COUNTIFS(Itens!$B$2:$B$500,A53,Itens!$K$2:$K$500,"Não auditado")</f>
        <v/>
      </c>
      <c r="J53" s="49">
        <f>COUNTIFS(Flags_auditoria!$K$2:$K$500,A53,Flags_auditoria!$H$2:$H$500,"Aberto")</f>
        <v/>
      </c>
      <c r="K53" s="34" t="inlineStr">
        <is>
          <t>C3.1: Caminho de comunicação</t>
        </is>
      </c>
      <c r="L53" s="50">
        <f>IFERROR(AVERAGEIF(Itens!$B$2:$B$500,A53,Itens!$L$2:$L$500),0)</f>
        <v/>
      </c>
    </row>
    <row r="54" ht="30" customHeight="1" s="21">
      <c r="A54" s="46" t="inlineStr">
        <is>
          <t>C4</t>
        </is>
      </c>
      <c r="B54" s="34" t="inlineStr">
        <is>
          <t>Transporte e controle</t>
        </is>
      </c>
      <c r="C54" s="46">
        <f>IF(D54&gt;=1,"Fechado",IF(G54+H54&gt;0,"Com pendência",IF(I54&gt;0,"Parcial","Em dia")))</f>
        <v/>
      </c>
      <c r="D54" s="47">
        <f>IFERROR(F54/E54,0)</f>
        <v/>
      </c>
      <c r="E54" s="49">
        <f>COUNTIF(Itens!$B$2:$B$500,A54)</f>
        <v/>
      </c>
      <c r="F54" s="49">
        <f>COUNTIFS(Itens!$B$2:$B$500,A54,Itens!$K$2:$K$500,"Consistente")+COUNTIFS(Itens!$B$2:$B$500,A54,Itens!$K$2:$K$500,"Corrigido 2026-10-14")+COUNTIFS(Itens!$B$2:$B$500,A54,Itens!$K$2:$K$500,"Corrigido 2026-10-15")+COUNTIFS(Itens!$B$2:$B$500,A54,Itens!$K$2:$K$500,"Corrigido 2026-10-16")+COUNTIFS(Itens!$B$2:$B$500,A54,Itens!$K$2:$K$500,"Corrigido 2026-10-09")</f>
        <v/>
      </c>
      <c r="G54" s="49">
        <f>COUNTIFS(Itens!$B$2:$B$500,A54,Itens!$K$2:$K$500,"Aberto / não resolvido")</f>
        <v/>
      </c>
      <c r="H54" s="49">
        <f>COUNTIFS(Itens!$B$2:$B$500,A54,Itens!$K$2:$K$500,"Correção pendente (audit)")</f>
        <v/>
      </c>
      <c r="I54" s="49">
        <f>COUNTIFS(Itens!$B$2:$B$500,A54,Itens!$K$2:$K$500,"Não auditado")</f>
        <v/>
      </c>
      <c r="J54" s="49">
        <f>COUNTIFS(Flags_auditoria!$K$2:$K$500,A54,Flags_auditoria!$H$2:$H$500,"Aberto")</f>
        <v/>
      </c>
      <c r="K54" s="34" t="inlineStr">
        <is>
          <t>C4.1: Transporte e controle</t>
        </is>
      </c>
      <c r="L54" s="50">
        <f>IFERROR(AVERAGEIF(Itens!$B$2:$B$500,A54,Itens!$L$2:$L$500),0)</f>
        <v/>
      </c>
    </row>
    <row r="55" ht="30" customHeight="1" s="21">
      <c r="A55" s="46" t="inlineStr">
        <is>
          <t>C5</t>
        </is>
      </c>
      <c r="B55" s="34" t="inlineStr">
        <is>
          <t>Superfície do user-client</t>
        </is>
      </c>
      <c r="C55" s="46">
        <f>IF(D55&gt;=1,"Fechado",IF(G55+H55&gt;0,"Com pendência",IF(I55&gt;0,"Parcial","Em dia")))</f>
        <v/>
      </c>
      <c r="D55" s="47">
        <f>IFERROR(F55/E55,0)</f>
        <v/>
      </c>
      <c r="E55" s="49">
        <f>COUNTIF(Itens!$B$2:$B$500,A55)</f>
        <v/>
      </c>
      <c r="F55" s="49">
        <f>COUNTIFS(Itens!$B$2:$B$500,A55,Itens!$K$2:$K$500,"Consistente")+COUNTIFS(Itens!$B$2:$B$500,A55,Itens!$K$2:$K$500,"Corrigido 2026-10-14")+COUNTIFS(Itens!$B$2:$B$500,A55,Itens!$K$2:$K$500,"Corrigido 2026-10-15")+COUNTIFS(Itens!$B$2:$B$500,A55,Itens!$K$2:$K$500,"Corrigido 2026-10-16")+COUNTIFS(Itens!$B$2:$B$500,A55,Itens!$K$2:$K$500,"Corrigido 2026-10-09")</f>
        <v/>
      </c>
      <c r="G55" s="49">
        <f>COUNTIFS(Itens!$B$2:$B$500,A55,Itens!$K$2:$K$500,"Aberto / não resolvido")</f>
        <v/>
      </c>
      <c r="H55" s="49">
        <f>COUNTIFS(Itens!$B$2:$B$500,A55,Itens!$K$2:$K$500,"Correção pendente (audit)")</f>
        <v/>
      </c>
      <c r="I55" s="49">
        <f>COUNTIFS(Itens!$B$2:$B$500,A55,Itens!$K$2:$K$500,"Não auditado")</f>
        <v/>
      </c>
      <c r="J55" s="49">
        <f>COUNTIFS(Flags_auditoria!$K$2:$K$500,A55,Flags_auditoria!$H$2:$H$500,"Aberto")</f>
        <v/>
      </c>
      <c r="K55" s="34" t="inlineStr">
        <is>
          <t>—</t>
        </is>
      </c>
      <c r="L55" s="50">
        <f>IFERROR(AVERAGEIF(Itens!$B$2:$B$500,A55,Itens!$L$2:$L$500),0)</f>
        <v/>
      </c>
    </row>
    <row r="56" ht="30" customHeight="1" s="21">
      <c r="A56" s="46" t="inlineStr">
        <is>
          <t>C6</t>
        </is>
      </c>
      <c r="B56" s="34" t="inlineStr">
        <is>
          <t>Orçamento de latência</t>
        </is>
      </c>
      <c r="C56" s="46">
        <f>IF(D56&gt;=1,"Fechado",IF(G56+H56&gt;0,"Com pendência",IF(I56&gt;0,"Parcial","Em dia")))</f>
        <v/>
      </c>
      <c r="D56" s="47">
        <f>IFERROR(F56/E56,0)</f>
        <v/>
      </c>
      <c r="E56" s="49">
        <f>COUNTIF(Itens!$B$2:$B$500,A56)</f>
        <v/>
      </c>
      <c r="F56" s="49">
        <f>COUNTIFS(Itens!$B$2:$B$500,A56,Itens!$K$2:$K$500,"Consistente")+COUNTIFS(Itens!$B$2:$B$500,A56,Itens!$K$2:$K$500,"Corrigido 2026-10-14")+COUNTIFS(Itens!$B$2:$B$500,A56,Itens!$K$2:$K$500,"Corrigido 2026-10-15")+COUNTIFS(Itens!$B$2:$B$500,A56,Itens!$K$2:$K$500,"Corrigido 2026-10-16")+COUNTIFS(Itens!$B$2:$B$500,A56,Itens!$K$2:$K$500,"Corrigido 2026-10-09")</f>
        <v/>
      </c>
      <c r="G56" s="49">
        <f>COUNTIFS(Itens!$B$2:$B$500,A56,Itens!$K$2:$K$500,"Aberto / não resolvido")</f>
        <v/>
      </c>
      <c r="H56" s="49">
        <f>COUNTIFS(Itens!$B$2:$B$500,A56,Itens!$K$2:$K$500,"Correção pendente (audit)")</f>
        <v/>
      </c>
      <c r="I56" s="49">
        <f>COUNTIFS(Itens!$B$2:$B$500,A56,Itens!$K$2:$K$500,"Não auditado")</f>
        <v/>
      </c>
      <c r="J56" s="49">
        <f>COUNTIFS(Flags_auditoria!$K$2:$K$500,A56,Flags_auditoria!$H$2:$H$500,"Aberto")</f>
        <v/>
      </c>
      <c r="K56" s="34" t="inlineStr">
        <is>
          <t>C6.1: Orçamento de latência</t>
        </is>
      </c>
      <c r="L56" s="50">
        <f>IFERROR(AVERAGEIF(Itens!$B$2:$B$500,A56,Itens!$L$2:$L$500),0)</f>
        <v/>
      </c>
    </row>
    <row r="57" ht="30" customHeight="1" s="21">
      <c r="A57" s="46" t="inlineStr">
        <is>
          <t>D</t>
        </is>
      </c>
      <c r="B57" s="34" t="inlineStr">
        <is>
          <t>Decisão de build</t>
        </is>
      </c>
      <c r="C57" s="46">
        <f>IF(D57&gt;=1,"Fechado",IF(G57+H57&gt;0,"Com pendência",IF(I57&gt;0,"Parcial","Em dia")))</f>
        <v/>
      </c>
      <c r="D57" s="47">
        <f>IFERROR(F57/E57,0)</f>
        <v/>
      </c>
      <c r="E57" s="49">
        <f>COUNTIF(Itens!$B$2:$B$500,A57)</f>
        <v/>
      </c>
      <c r="F57" s="49">
        <f>COUNTIFS(Itens!$B$2:$B$500,A57,Itens!$K$2:$K$500,"Consistente")+COUNTIFS(Itens!$B$2:$B$500,A57,Itens!$K$2:$K$500,"Corrigido 2026-10-14")+COUNTIFS(Itens!$B$2:$B$500,A57,Itens!$K$2:$K$500,"Corrigido 2026-10-15")+COUNTIFS(Itens!$B$2:$B$500,A57,Itens!$K$2:$K$500,"Corrigido 2026-10-16")+COUNTIFS(Itens!$B$2:$B$500,A57,Itens!$K$2:$K$500,"Corrigido 2026-10-09")</f>
        <v/>
      </c>
      <c r="G57" s="49">
        <f>COUNTIFS(Itens!$B$2:$B$500,A57,Itens!$K$2:$K$500,"Aberto / não resolvido")</f>
        <v/>
      </c>
      <c r="H57" s="49">
        <f>COUNTIFS(Itens!$B$2:$B$500,A57,Itens!$K$2:$K$500,"Correção pendente (audit)")</f>
        <v/>
      </c>
      <c r="I57" s="49">
        <f>COUNTIFS(Itens!$B$2:$B$500,A57,Itens!$K$2:$K$500,"Não auditado")</f>
        <v/>
      </c>
      <c r="J57" s="49">
        <f>COUNTIFS(Flags_auditoria!$K$2:$K$500,A57,Flags_auditoria!$H$2:$H$500,"Aberto")</f>
        <v/>
      </c>
      <c r="K57" s="34" t="inlineStr">
        <is>
          <t>D.1: Decisão de build</t>
        </is>
      </c>
      <c r="L57" s="50">
        <f>IFERROR(AVERAGEIF(Itens!$B$2:$B$500,A57,Itens!$L$2:$L$500),0)</f>
        <v/>
      </c>
    </row>
    <row r="58"/>
    <row r="59">
      <c r="A59" s="24" t="inlineStr">
        <is>
          <t>Ramos secundários (sub-ramos: 78 docs/tópicos)</t>
        </is>
      </c>
    </row>
    <row r="60">
      <c r="A60" s="45" t="inlineStr">
        <is>
          <t>Sub-ramo</t>
        </is>
      </c>
      <c r="B60" s="45" t="inlineStr">
        <is>
          <t>Tópico (1º item)</t>
        </is>
      </c>
      <c r="C60" s="45" t="inlineStr">
        <is>
          <t>Estado</t>
        </is>
      </c>
      <c r="D60" s="45" t="inlineStr">
        <is>
          <t>% fechado</t>
        </is>
      </c>
      <c r="E60" s="45" t="inlineStr">
        <is>
          <t>Itens</t>
        </is>
      </c>
      <c r="F60" s="45" t="inlineStr">
        <is>
          <t>Fechados</t>
        </is>
      </c>
      <c r="G60" s="45" t="inlineStr">
        <is>
          <t>Abertos</t>
        </is>
      </c>
      <c r="H60" s="45" t="inlineStr">
        <is>
          <t>Pend. correção</t>
        </is>
      </c>
      <c r="I60" s="45" t="inlineStr">
        <is>
          <t>Não audit.</t>
        </is>
      </c>
      <c r="J60" s="45" t="inlineStr">
        <is>
          <t>Parte</t>
        </is>
      </c>
      <c r="K60" s="45" t="inlineStr">
        <is>
          <t>O que falta (itens abertos)</t>
        </is>
      </c>
      <c r="L60" s="45" t="inlineStr">
        <is>
          <t>Confiança média</t>
        </is>
      </c>
    </row>
    <row r="61" ht="28" customHeight="1" s="21">
      <c r="A61" s="46" t="inlineStr">
        <is>
          <t>A1-OV</t>
        </is>
      </c>
      <c r="B61" s="34" t="inlineStr">
        <is>
          <t>Estrutura geral do kext</t>
        </is>
      </c>
      <c r="C61" s="46">
        <f>IF(D61&gt;=1,"Fechado",IF(G61+H61&gt;0,"Com pendência",IF(I61&gt;0,"Parcial","Em dia")))</f>
        <v/>
      </c>
      <c r="D61" s="47">
        <f>IFERROR(F61/E61,0)</f>
        <v/>
      </c>
      <c r="E61" s="49">
        <f>COUNTIF(Itens!$P$2:$P$500,A61)</f>
        <v/>
      </c>
      <c r="F61" s="49">
        <f>COUNTIFS(Itens!$P$2:$P$500,A61,Itens!$K$2:$K$500,"Consistente")+COUNTIFS(Itens!$P$2:$P$500,A61,Itens!$K$2:$K$500,"Corrigido 2026-10-14")+COUNTIFS(Itens!$P$2:$P$500,A61,Itens!$K$2:$K$500,"Corrigido 2026-10-15")+COUNTIFS(Itens!$P$2:$P$500,A61,Itens!$K$2:$K$500,"Corrigido 2026-10-16")+COUNTIFS(Itens!$P$2:$P$500,A61,Itens!$K$2:$K$500,"Corrigido 2026-10-09")</f>
        <v/>
      </c>
      <c r="G61" s="49">
        <f>COUNTIFS(Itens!$P$2:$P$500,A61,Itens!$K$2:$K$500,"Aberto / não resolvido")</f>
        <v/>
      </c>
      <c r="H61" s="49">
        <f>COUNTIFS(Itens!$P$2:$P$500,A61,Itens!$K$2:$K$500,"Correção pendente (audit)")</f>
        <v/>
      </c>
      <c r="I61" s="49">
        <f>COUNTIFS(Itens!$P$2:$P$500,A61,Itens!$K$2:$K$500,"Não auditado")</f>
        <v/>
      </c>
      <c r="J61" s="48" t="inlineStr">
        <is>
          <t>A1</t>
        </is>
      </c>
      <c r="K61" s="34" t="inlineStr">
        <is>
          <t>—</t>
        </is>
      </c>
      <c r="L61" s="50">
        <f>IFERROR(AVERAGEIF(Itens!$P$2:$P$500,A61,Itens!$L$2:$L$500),0)</f>
        <v/>
      </c>
    </row>
    <row r="62" ht="28" customHeight="1" s="21">
      <c r="A62" s="46" t="inlineStr">
        <is>
          <t>A1-Q1</t>
        </is>
      </c>
      <c r="B62" s="34" t="inlineStr">
        <is>
          <t>Anel DCL RX</t>
        </is>
      </c>
      <c r="C62" s="46">
        <f>IF(D62&gt;=1,"Fechado",IF(G62+H62&gt;0,"Com pendência",IF(I62&gt;0,"Parcial","Em dia")))</f>
        <v/>
      </c>
      <c r="D62" s="47">
        <f>IFERROR(F62/E62,0)</f>
        <v/>
      </c>
      <c r="E62" s="49">
        <f>COUNTIF(Itens!$P$2:$P$500,A62)</f>
        <v/>
      </c>
      <c r="F62" s="49">
        <f>COUNTIFS(Itens!$P$2:$P$500,A62,Itens!$K$2:$K$500,"Consistente")+COUNTIFS(Itens!$P$2:$P$500,A62,Itens!$K$2:$K$500,"Corrigido 2026-10-14")+COUNTIFS(Itens!$P$2:$P$500,A62,Itens!$K$2:$K$500,"Corrigido 2026-10-15")+COUNTIFS(Itens!$P$2:$P$500,A62,Itens!$K$2:$K$500,"Corrigido 2026-10-16")+COUNTIFS(Itens!$P$2:$P$500,A62,Itens!$K$2:$K$500,"Corrigido 2026-10-09")</f>
        <v/>
      </c>
      <c r="G62" s="49">
        <f>COUNTIFS(Itens!$P$2:$P$500,A62,Itens!$K$2:$K$500,"Aberto / não resolvido")</f>
        <v/>
      </c>
      <c r="H62" s="49">
        <f>COUNTIFS(Itens!$P$2:$P$500,A62,Itens!$K$2:$K$500,"Correção pendente (audit)")</f>
        <v/>
      </c>
      <c r="I62" s="49">
        <f>COUNTIFS(Itens!$P$2:$P$500,A62,Itens!$K$2:$K$500,"Não auditado")</f>
        <v/>
      </c>
      <c r="J62" s="48" t="inlineStr">
        <is>
          <t>A1</t>
        </is>
      </c>
      <c r="K62" s="34" t="inlineStr">
        <is>
          <t>—</t>
        </is>
      </c>
      <c r="L62" s="50">
        <f>IFERROR(AVERAGEIF(Itens!$P$2:$P$500,A62,Itens!$L$2:$L$500),0)</f>
        <v/>
      </c>
    </row>
    <row r="63" ht="28" customHeight="1" s="21">
      <c r="A63" s="46" t="inlineStr">
        <is>
          <t>A1-Q1a</t>
        </is>
      </c>
      <c r="B63" s="34" t="inlineStr">
        <is>
          <t>Opcodes DCL (label / SetTagSyncBits)</t>
        </is>
      </c>
      <c r="C63" s="46">
        <f>IF(D63&gt;=1,"Fechado",IF(G63+H63&gt;0,"Com pendência",IF(I63&gt;0,"Parcial","Em dia")))</f>
        <v/>
      </c>
      <c r="D63" s="47">
        <f>IFERROR(F63/E63,0)</f>
        <v/>
      </c>
      <c r="E63" s="49">
        <f>COUNTIF(Itens!$P$2:$P$500,A63)</f>
        <v/>
      </c>
      <c r="F63" s="49">
        <f>COUNTIFS(Itens!$P$2:$P$500,A63,Itens!$K$2:$K$500,"Consistente")+COUNTIFS(Itens!$P$2:$P$500,A63,Itens!$K$2:$K$500,"Corrigido 2026-10-14")+COUNTIFS(Itens!$P$2:$P$500,A63,Itens!$K$2:$K$500,"Corrigido 2026-10-15")+COUNTIFS(Itens!$P$2:$P$500,A63,Itens!$K$2:$K$500,"Corrigido 2026-10-16")+COUNTIFS(Itens!$P$2:$P$500,A63,Itens!$K$2:$K$500,"Corrigido 2026-10-09")</f>
        <v/>
      </c>
      <c r="G63" s="49">
        <f>COUNTIFS(Itens!$P$2:$P$500,A63,Itens!$K$2:$K$500,"Aberto / não resolvido")</f>
        <v/>
      </c>
      <c r="H63" s="49">
        <f>COUNTIFS(Itens!$P$2:$P$500,A63,Itens!$K$2:$K$500,"Correção pendente (audit)")</f>
        <v/>
      </c>
      <c r="I63" s="49">
        <f>COUNTIFS(Itens!$P$2:$P$500,A63,Itens!$K$2:$K$500,"Não auditado")</f>
        <v/>
      </c>
      <c r="J63" s="48" t="inlineStr">
        <is>
          <t>A1</t>
        </is>
      </c>
      <c r="K63" s="34" t="inlineStr">
        <is>
          <t>—</t>
        </is>
      </c>
      <c r="L63" s="50">
        <f>IFERROR(AVERAGEIF(Itens!$P$2:$P$500,A63,Itens!$L$2:$L$500),0)</f>
        <v/>
      </c>
    </row>
    <row r="64" ht="28" customHeight="1" s="21">
      <c r="A64" s="46" t="inlineStr">
        <is>
          <t>A1-Q1b</t>
        </is>
      </c>
      <c r="B64" s="34" t="inlineStr">
        <is>
          <t>Entrega ao createLocalIsochPort</t>
        </is>
      </c>
      <c r="C64" s="46">
        <f>IF(D64&gt;=1,"Fechado",IF(G64+H64&gt;0,"Com pendência",IF(I64&gt;0,"Parcial","Em dia")))</f>
        <v/>
      </c>
      <c r="D64" s="47">
        <f>IFERROR(F64/E64,0)</f>
        <v/>
      </c>
      <c r="E64" s="49">
        <f>COUNTIF(Itens!$P$2:$P$500,A64)</f>
        <v/>
      </c>
      <c r="F64" s="49">
        <f>COUNTIFS(Itens!$P$2:$P$500,A64,Itens!$K$2:$K$500,"Consistente")+COUNTIFS(Itens!$P$2:$P$500,A64,Itens!$K$2:$K$500,"Corrigido 2026-10-14")+COUNTIFS(Itens!$P$2:$P$500,A64,Itens!$K$2:$K$500,"Corrigido 2026-10-15")+COUNTIFS(Itens!$P$2:$P$500,A64,Itens!$K$2:$K$500,"Corrigido 2026-10-16")+COUNTIFS(Itens!$P$2:$P$500,A64,Itens!$K$2:$K$500,"Corrigido 2026-10-09")</f>
        <v/>
      </c>
      <c r="G64" s="49">
        <f>COUNTIFS(Itens!$P$2:$P$500,A64,Itens!$K$2:$K$500,"Aberto / não resolvido")</f>
        <v/>
      </c>
      <c r="H64" s="49">
        <f>COUNTIFS(Itens!$P$2:$P$500,A64,Itens!$K$2:$K$500,"Correção pendente (audit)")</f>
        <v/>
      </c>
      <c r="I64" s="49">
        <f>COUNTIFS(Itens!$P$2:$P$500,A64,Itens!$K$2:$K$500,"Não auditado")</f>
        <v/>
      </c>
      <c r="J64" s="48" t="inlineStr">
        <is>
          <t>A1</t>
        </is>
      </c>
      <c r="K64" s="34" t="inlineStr">
        <is>
          <t>—</t>
        </is>
      </c>
      <c r="L64" s="50">
        <f>IFERROR(AVERAGEIF(Itens!$P$2:$P$500,A64,Itens!$L$2:$L$500),0)</f>
        <v/>
      </c>
    </row>
    <row r="65" ht="28" customHeight="1" s="21">
      <c r="A65" s="46" t="inlineStr">
        <is>
          <t>A1-Q1c</t>
        </is>
      </c>
      <c r="B65" s="34" t="inlineStr">
        <is>
          <t>Caminho de overrun</t>
        </is>
      </c>
      <c r="C65" s="46">
        <f>IF(D65&gt;=1,"Fechado",IF(G65+H65&gt;0,"Com pendência",IF(I65&gt;0,"Parcial","Em dia")))</f>
        <v/>
      </c>
      <c r="D65" s="47">
        <f>IFERROR(F65/E65,0)</f>
        <v/>
      </c>
      <c r="E65" s="49">
        <f>COUNTIF(Itens!$P$2:$P$500,A65)</f>
        <v/>
      </c>
      <c r="F65" s="49">
        <f>COUNTIFS(Itens!$P$2:$P$500,A65,Itens!$K$2:$K$500,"Consistente")+COUNTIFS(Itens!$P$2:$P$500,A65,Itens!$K$2:$K$500,"Corrigido 2026-10-14")+COUNTIFS(Itens!$P$2:$P$500,A65,Itens!$K$2:$K$500,"Corrigido 2026-10-15")+COUNTIFS(Itens!$P$2:$P$500,A65,Itens!$K$2:$K$500,"Corrigido 2026-10-16")+COUNTIFS(Itens!$P$2:$P$500,A65,Itens!$K$2:$K$500,"Corrigido 2026-10-09")</f>
        <v/>
      </c>
      <c r="G65" s="49">
        <f>COUNTIFS(Itens!$P$2:$P$500,A65,Itens!$K$2:$K$500,"Aberto / não resolvido")</f>
        <v/>
      </c>
      <c r="H65" s="49">
        <f>COUNTIFS(Itens!$P$2:$P$500,A65,Itens!$K$2:$K$500,"Correção pendente (audit)")</f>
        <v/>
      </c>
      <c r="I65" s="49">
        <f>COUNTIFS(Itens!$P$2:$P$500,A65,Itens!$K$2:$K$500,"Não auditado")</f>
        <v/>
      </c>
      <c r="J65" s="48" t="inlineStr">
        <is>
          <t>A1</t>
        </is>
      </c>
      <c r="K65" s="34" t="inlineStr">
        <is>
          <t>—</t>
        </is>
      </c>
      <c r="L65" s="50">
        <f>IFERROR(AVERAGEIF(Itens!$P$2:$P$500,A65,Itens!$L$2:$L$500),0)</f>
        <v/>
      </c>
    </row>
    <row r="66" ht="28" customHeight="1" s="21">
      <c r="A66" s="46" t="inlineStr">
        <is>
          <t>A1-Q-DCL</t>
        </is>
      </c>
      <c r="B66" s="34" t="inlineStr">
        <is>
          <t>Anel DCL TX</t>
        </is>
      </c>
      <c r="C66" s="46">
        <f>IF(D66&gt;=1,"Fechado",IF(G66+H66&gt;0,"Com pendência",IF(I66&gt;0,"Parcial","Em dia")))</f>
        <v/>
      </c>
      <c r="D66" s="47">
        <f>IFERROR(F66/E66,0)</f>
        <v/>
      </c>
      <c r="E66" s="49">
        <f>COUNTIF(Itens!$P$2:$P$500,A66)</f>
        <v/>
      </c>
      <c r="F66" s="49">
        <f>COUNTIFS(Itens!$P$2:$P$500,A66,Itens!$K$2:$K$500,"Consistente")+COUNTIFS(Itens!$P$2:$P$500,A66,Itens!$K$2:$K$500,"Corrigido 2026-10-14")+COUNTIFS(Itens!$P$2:$P$500,A66,Itens!$K$2:$K$500,"Corrigido 2026-10-15")+COUNTIFS(Itens!$P$2:$P$500,A66,Itens!$K$2:$K$500,"Corrigido 2026-10-16")+COUNTIFS(Itens!$P$2:$P$500,A66,Itens!$K$2:$K$500,"Corrigido 2026-10-09")</f>
        <v/>
      </c>
      <c r="G66" s="49">
        <f>COUNTIFS(Itens!$P$2:$P$500,A66,Itens!$K$2:$K$500,"Aberto / não resolvido")</f>
        <v/>
      </c>
      <c r="H66" s="49">
        <f>COUNTIFS(Itens!$P$2:$P$500,A66,Itens!$K$2:$K$500,"Correção pendente (audit)")</f>
        <v/>
      </c>
      <c r="I66" s="49">
        <f>COUNTIFS(Itens!$P$2:$P$500,A66,Itens!$K$2:$K$500,"Não auditado")</f>
        <v/>
      </c>
      <c r="J66" s="48" t="inlineStr">
        <is>
          <t>A1</t>
        </is>
      </c>
      <c r="K66" s="34" t="inlineStr">
        <is>
          <t>—</t>
        </is>
      </c>
      <c r="L66" s="50">
        <f>IFERROR(AVERAGEIF(Itens!$P$2:$P$500,A66,Itens!$L$2:$L$500),0)</f>
        <v/>
      </c>
    </row>
    <row r="67" ht="28" customHeight="1" s="21">
      <c r="A67" s="46" t="inlineStr">
        <is>
          <t>A1-Q2</t>
        </is>
      </c>
      <c r="B67" s="34" t="inlineStr">
        <is>
          <t>Campos do SetupCIP</t>
        </is>
      </c>
      <c r="C67" s="46">
        <f>IF(D67&gt;=1,"Fechado",IF(G67+H67&gt;0,"Com pendência",IF(I67&gt;0,"Parcial","Em dia")))</f>
        <v/>
      </c>
      <c r="D67" s="47">
        <f>IFERROR(F67/E67,0)</f>
        <v/>
      </c>
      <c r="E67" s="49">
        <f>COUNTIF(Itens!$P$2:$P$500,A67)</f>
        <v/>
      </c>
      <c r="F67" s="49">
        <f>COUNTIFS(Itens!$P$2:$P$500,A67,Itens!$K$2:$K$500,"Consistente")+COUNTIFS(Itens!$P$2:$P$500,A67,Itens!$K$2:$K$500,"Corrigido 2026-10-14")+COUNTIFS(Itens!$P$2:$P$500,A67,Itens!$K$2:$K$500,"Corrigido 2026-10-15")+COUNTIFS(Itens!$P$2:$P$500,A67,Itens!$K$2:$K$500,"Corrigido 2026-10-16")+COUNTIFS(Itens!$P$2:$P$500,A67,Itens!$K$2:$K$500,"Corrigido 2026-10-09")</f>
        <v/>
      </c>
      <c r="G67" s="49">
        <f>COUNTIFS(Itens!$P$2:$P$500,A67,Itens!$K$2:$K$500,"Aberto / não resolvido")</f>
        <v/>
      </c>
      <c r="H67" s="49">
        <f>COUNTIFS(Itens!$P$2:$P$500,A67,Itens!$K$2:$K$500,"Correção pendente (audit)")</f>
        <v/>
      </c>
      <c r="I67" s="49">
        <f>COUNTIFS(Itens!$P$2:$P$500,A67,Itens!$K$2:$K$500,"Não auditado")</f>
        <v/>
      </c>
      <c r="J67" s="48" t="inlineStr">
        <is>
          <t>A1</t>
        </is>
      </c>
      <c r="K67" s="34" t="inlineStr">
        <is>
          <t>—</t>
        </is>
      </c>
      <c r="L67" s="50">
        <f>IFERROR(AVERAGEIF(Itens!$P$2:$P$500,A67,Itens!$L$2:$L$500),0)</f>
        <v/>
      </c>
    </row>
    <row r="68" ht="28" customHeight="1" s="21">
      <c r="A68" s="46" t="inlineStr">
        <is>
          <t>A1-Q15e</t>
        </is>
      </c>
      <c r="B68" s="34" t="inlineStr">
        <is>
          <t>Tabela de taxas</t>
        </is>
      </c>
      <c r="C68" s="46">
        <f>IF(D68&gt;=1,"Fechado",IF(G68+H68&gt;0,"Com pendência",IF(I68&gt;0,"Parcial","Em dia")))</f>
        <v/>
      </c>
      <c r="D68" s="47">
        <f>IFERROR(F68/E68,0)</f>
        <v/>
      </c>
      <c r="E68" s="49">
        <f>COUNTIF(Itens!$P$2:$P$500,A68)</f>
        <v/>
      </c>
      <c r="F68" s="49">
        <f>COUNTIFS(Itens!$P$2:$P$500,A68,Itens!$K$2:$K$500,"Consistente")+COUNTIFS(Itens!$P$2:$P$500,A68,Itens!$K$2:$K$500,"Corrigido 2026-10-14")+COUNTIFS(Itens!$P$2:$P$500,A68,Itens!$K$2:$K$500,"Corrigido 2026-10-15")+COUNTIFS(Itens!$P$2:$P$500,A68,Itens!$K$2:$K$500,"Corrigido 2026-10-16")+COUNTIFS(Itens!$P$2:$P$500,A68,Itens!$K$2:$K$500,"Corrigido 2026-10-09")</f>
        <v/>
      </c>
      <c r="G68" s="49">
        <f>COUNTIFS(Itens!$P$2:$P$500,A68,Itens!$K$2:$K$500,"Aberto / não resolvido")</f>
        <v/>
      </c>
      <c r="H68" s="49">
        <f>COUNTIFS(Itens!$P$2:$P$500,A68,Itens!$K$2:$K$500,"Correção pendente (audit)")</f>
        <v/>
      </c>
      <c r="I68" s="49">
        <f>COUNTIFS(Itens!$P$2:$P$500,A68,Itens!$K$2:$K$500,"Não auditado")</f>
        <v/>
      </c>
      <c r="J68" s="48" t="inlineStr">
        <is>
          <t>A1</t>
        </is>
      </c>
      <c r="K68" s="34" t="inlineStr">
        <is>
          <t>—</t>
        </is>
      </c>
      <c r="L68" s="50">
        <f>IFERROR(AVERAGEIF(Itens!$P$2:$P$500,A68,Itens!$L$2:$L$500),0)</f>
        <v/>
      </c>
    </row>
    <row r="69" ht="28" customHeight="1" s="21">
      <c r="A69" s="46" t="inlineStr">
        <is>
          <t>A1-Q15c</t>
        </is>
      </c>
      <c r="B69" s="34" t="inlineStr">
        <is>
          <t>Cadeia de mudança de formato</t>
        </is>
      </c>
      <c r="C69" s="46">
        <f>IF(D69&gt;=1,"Fechado",IF(G69+H69&gt;0,"Com pendência",IF(I69&gt;0,"Parcial","Em dia")))</f>
        <v/>
      </c>
      <c r="D69" s="47">
        <f>IFERROR(F69/E69,0)</f>
        <v/>
      </c>
      <c r="E69" s="49">
        <f>COUNTIF(Itens!$P$2:$P$500,A69)</f>
        <v/>
      </c>
      <c r="F69" s="49">
        <f>COUNTIFS(Itens!$P$2:$P$500,A69,Itens!$K$2:$K$500,"Consistente")+COUNTIFS(Itens!$P$2:$P$500,A69,Itens!$K$2:$K$500,"Corrigido 2026-10-14")+COUNTIFS(Itens!$P$2:$P$500,A69,Itens!$K$2:$K$500,"Corrigido 2026-10-15")+COUNTIFS(Itens!$P$2:$P$500,A69,Itens!$K$2:$K$500,"Corrigido 2026-10-16")+COUNTIFS(Itens!$P$2:$P$500,A69,Itens!$K$2:$K$500,"Corrigido 2026-10-09")</f>
        <v/>
      </c>
      <c r="G69" s="49">
        <f>COUNTIFS(Itens!$P$2:$P$500,A69,Itens!$K$2:$K$500,"Aberto / não resolvido")</f>
        <v/>
      </c>
      <c r="H69" s="49">
        <f>COUNTIFS(Itens!$P$2:$P$500,A69,Itens!$K$2:$K$500,"Correção pendente (audit)")</f>
        <v/>
      </c>
      <c r="I69" s="49">
        <f>COUNTIFS(Itens!$P$2:$P$500,A69,Itens!$K$2:$K$500,"Não auditado")</f>
        <v/>
      </c>
      <c r="J69" s="48" t="inlineStr">
        <is>
          <t>A1</t>
        </is>
      </c>
      <c r="K69" s="34" t="inlineStr">
        <is>
          <t>—</t>
        </is>
      </c>
      <c r="L69" s="50">
        <f>IFERROR(AVERAGEIF(Itens!$P$2:$P$500,A69,Itens!$L$2:$L$500),0)</f>
        <v/>
      </c>
    </row>
    <row r="70" ht="28" customHeight="1" s="21">
      <c r="A70" s="46" t="inlineStr">
        <is>
          <t>A1-Q15d</t>
        </is>
      </c>
      <c r="B70" s="34" t="inlineStr">
        <is>
          <t>MARateLocked</t>
        </is>
      </c>
      <c r="C70" s="46">
        <f>IF(D70&gt;=1,"Fechado",IF(G70+H70&gt;0,"Com pendência",IF(I70&gt;0,"Parcial","Em dia")))</f>
        <v/>
      </c>
      <c r="D70" s="47">
        <f>IFERROR(F70/E70,0)</f>
        <v/>
      </c>
      <c r="E70" s="49">
        <f>COUNTIF(Itens!$P$2:$P$500,A70)</f>
        <v/>
      </c>
      <c r="F70" s="49">
        <f>COUNTIFS(Itens!$P$2:$P$500,A70,Itens!$K$2:$K$500,"Consistente")+COUNTIFS(Itens!$P$2:$P$500,A70,Itens!$K$2:$K$500,"Corrigido 2026-10-14")+COUNTIFS(Itens!$P$2:$P$500,A70,Itens!$K$2:$K$500,"Corrigido 2026-10-15")+COUNTIFS(Itens!$P$2:$P$500,A70,Itens!$K$2:$K$500,"Corrigido 2026-10-16")+COUNTIFS(Itens!$P$2:$P$500,A70,Itens!$K$2:$K$500,"Corrigido 2026-10-09")</f>
        <v/>
      </c>
      <c r="G70" s="49">
        <f>COUNTIFS(Itens!$P$2:$P$500,A70,Itens!$K$2:$K$500,"Aberto / não resolvido")</f>
        <v/>
      </c>
      <c r="H70" s="49">
        <f>COUNTIFS(Itens!$P$2:$P$500,A70,Itens!$K$2:$K$500,"Correção pendente (audit)")</f>
        <v/>
      </c>
      <c r="I70" s="49">
        <f>COUNTIFS(Itens!$P$2:$P$500,A70,Itens!$K$2:$K$500,"Não auditado")</f>
        <v/>
      </c>
      <c r="J70" s="48" t="inlineStr">
        <is>
          <t>A1</t>
        </is>
      </c>
      <c r="K70" s="34" t="inlineStr">
        <is>
          <t>—</t>
        </is>
      </c>
      <c r="L70" s="50">
        <f>IFERROR(AVERAGEIF(Itens!$P$2:$P$500,A70,Itens!$L$2:$L$500),0)</f>
        <v/>
      </c>
    </row>
    <row r="71" ht="28" customHeight="1" s="21">
      <c r="A71" s="46" t="inlineStr">
        <is>
          <t>A1-Q3</t>
        </is>
      </c>
      <c r="B71" s="34" t="inlineStr">
        <is>
          <t>ConnectAllPlugs</t>
        </is>
      </c>
      <c r="C71" s="46">
        <f>IF(D71&gt;=1,"Fechado",IF(G71+H71&gt;0,"Com pendência",IF(I71&gt;0,"Parcial","Em dia")))</f>
        <v/>
      </c>
      <c r="D71" s="47">
        <f>IFERROR(F71/E71,0)</f>
        <v/>
      </c>
      <c r="E71" s="49">
        <f>COUNTIF(Itens!$P$2:$P$500,A71)</f>
        <v/>
      </c>
      <c r="F71" s="49">
        <f>COUNTIFS(Itens!$P$2:$P$500,A71,Itens!$K$2:$K$500,"Consistente")+COUNTIFS(Itens!$P$2:$P$500,A71,Itens!$K$2:$K$500,"Corrigido 2026-10-14")+COUNTIFS(Itens!$P$2:$P$500,A71,Itens!$K$2:$K$500,"Corrigido 2026-10-15")+COUNTIFS(Itens!$P$2:$P$500,A71,Itens!$K$2:$K$500,"Corrigido 2026-10-16")+COUNTIFS(Itens!$P$2:$P$500,A71,Itens!$K$2:$K$500,"Corrigido 2026-10-09")</f>
        <v/>
      </c>
      <c r="G71" s="49">
        <f>COUNTIFS(Itens!$P$2:$P$500,A71,Itens!$K$2:$K$500,"Aberto / não resolvido")</f>
        <v/>
      </c>
      <c r="H71" s="49">
        <f>COUNTIFS(Itens!$P$2:$P$500,A71,Itens!$K$2:$K$500,"Correção pendente (audit)")</f>
        <v/>
      </c>
      <c r="I71" s="49">
        <f>COUNTIFS(Itens!$P$2:$P$500,A71,Itens!$K$2:$K$500,"Não auditado")</f>
        <v/>
      </c>
      <c r="J71" s="48" t="inlineStr">
        <is>
          <t>A1</t>
        </is>
      </c>
      <c r="K71" s="34" t="inlineStr">
        <is>
          <t>—</t>
        </is>
      </c>
      <c r="L71" s="50">
        <f>IFERROR(AVERAGEIF(Itens!$P$2:$P$500,A71,Itens!$L$2:$L$500),0)</f>
        <v/>
      </c>
    </row>
    <row r="72" ht="28" customHeight="1" s="21">
      <c r="A72" s="46" t="inlineStr">
        <is>
          <t>A1-Q3a</t>
        </is>
      </c>
      <c r="B72" s="34" t="inlineStr">
        <is>
          <t>Formato de sinal do plug (FW1814)</t>
        </is>
      </c>
      <c r="C72" s="46">
        <f>IF(D72&gt;=1,"Fechado",IF(G72+H72&gt;0,"Com pendência",IF(I72&gt;0,"Parcial","Em dia")))</f>
        <v/>
      </c>
      <c r="D72" s="47">
        <f>IFERROR(F72/E72,0)</f>
        <v/>
      </c>
      <c r="E72" s="49">
        <f>COUNTIF(Itens!$P$2:$P$500,A72)</f>
        <v/>
      </c>
      <c r="F72" s="49">
        <f>COUNTIFS(Itens!$P$2:$P$500,A72,Itens!$K$2:$K$500,"Consistente")+COUNTIFS(Itens!$P$2:$P$500,A72,Itens!$K$2:$K$500,"Corrigido 2026-10-14")+COUNTIFS(Itens!$P$2:$P$500,A72,Itens!$K$2:$K$500,"Corrigido 2026-10-15")+COUNTIFS(Itens!$P$2:$P$500,A72,Itens!$K$2:$K$500,"Corrigido 2026-10-16")+COUNTIFS(Itens!$P$2:$P$500,A72,Itens!$K$2:$K$500,"Corrigido 2026-10-09")</f>
        <v/>
      </c>
      <c r="G72" s="49">
        <f>COUNTIFS(Itens!$P$2:$P$500,A72,Itens!$K$2:$K$500,"Aberto / não resolvido")</f>
        <v/>
      </c>
      <c r="H72" s="49">
        <f>COUNTIFS(Itens!$P$2:$P$500,A72,Itens!$K$2:$K$500,"Correção pendente (audit)")</f>
        <v/>
      </c>
      <c r="I72" s="49">
        <f>COUNTIFS(Itens!$P$2:$P$500,A72,Itens!$K$2:$K$500,"Não auditado")</f>
        <v/>
      </c>
      <c r="J72" s="48" t="inlineStr">
        <is>
          <t>A1</t>
        </is>
      </c>
      <c r="K72" s="34" t="inlineStr">
        <is>
          <t>—</t>
        </is>
      </c>
      <c r="L72" s="50">
        <f>IFERROR(AVERAGEIF(Itens!$P$2:$P$500,A72,Itens!$L$2:$L$500),0)</f>
        <v/>
      </c>
    </row>
    <row r="73" ht="28" customHeight="1" s="21">
      <c r="A73" s="46" t="inlineStr">
        <is>
          <t>A1-Q-CMP</t>
        </is>
      </c>
      <c r="B73" s="34" t="inlineStr">
        <is>
          <t>Canal isoch e tamanho de pacote</t>
        </is>
      </c>
      <c r="C73" s="46">
        <f>IF(D73&gt;=1,"Fechado",IF(G73+H73&gt;0,"Com pendência",IF(I73&gt;0,"Parcial","Em dia")))</f>
        <v/>
      </c>
      <c r="D73" s="47">
        <f>IFERROR(F73/E73,0)</f>
        <v/>
      </c>
      <c r="E73" s="49">
        <f>COUNTIF(Itens!$P$2:$P$500,A73)</f>
        <v/>
      </c>
      <c r="F73" s="49">
        <f>COUNTIFS(Itens!$P$2:$P$500,A73,Itens!$K$2:$K$500,"Consistente")+COUNTIFS(Itens!$P$2:$P$500,A73,Itens!$K$2:$K$500,"Corrigido 2026-10-14")+COUNTIFS(Itens!$P$2:$P$500,A73,Itens!$K$2:$K$500,"Corrigido 2026-10-15")+COUNTIFS(Itens!$P$2:$P$500,A73,Itens!$K$2:$K$500,"Corrigido 2026-10-16")+COUNTIFS(Itens!$P$2:$P$500,A73,Itens!$K$2:$K$500,"Corrigido 2026-10-09")</f>
        <v/>
      </c>
      <c r="G73" s="49">
        <f>COUNTIFS(Itens!$P$2:$P$500,A73,Itens!$K$2:$K$500,"Aberto / não resolvido")</f>
        <v/>
      </c>
      <c r="H73" s="49">
        <f>COUNTIFS(Itens!$P$2:$P$500,A73,Itens!$K$2:$K$500,"Correção pendente (audit)")</f>
        <v/>
      </c>
      <c r="I73" s="49">
        <f>COUNTIFS(Itens!$P$2:$P$500,A73,Itens!$K$2:$K$500,"Não auditado")</f>
        <v/>
      </c>
      <c r="J73" s="48" t="inlineStr">
        <is>
          <t>A1</t>
        </is>
      </c>
      <c r="K73" s="34" t="inlineStr">
        <is>
          <t>—</t>
        </is>
      </c>
      <c r="L73" s="50">
        <f>IFERROR(AVERAGEIF(Itens!$P$2:$P$500,A73,Itens!$L$2:$L$500),0)</f>
        <v/>
      </c>
    </row>
    <row r="74" ht="28" customHeight="1" s="21">
      <c r="A74" s="46" t="inlineStr">
        <is>
          <t>A1-Q4</t>
        </is>
      </c>
      <c r="B74" s="34" t="inlineStr">
        <is>
          <t>BusReset / ReconnectP2P</t>
        </is>
      </c>
      <c r="C74" s="46">
        <f>IF(D74&gt;=1,"Fechado",IF(G74+H74&gt;0,"Com pendência",IF(I74&gt;0,"Parcial","Em dia")))</f>
        <v/>
      </c>
      <c r="D74" s="47">
        <f>IFERROR(F74/E74,0)</f>
        <v/>
      </c>
      <c r="E74" s="49">
        <f>COUNTIF(Itens!$P$2:$P$500,A74)</f>
        <v/>
      </c>
      <c r="F74" s="49">
        <f>COUNTIFS(Itens!$P$2:$P$500,A74,Itens!$K$2:$K$500,"Consistente")+COUNTIFS(Itens!$P$2:$P$500,A74,Itens!$K$2:$K$500,"Corrigido 2026-10-14")+COUNTIFS(Itens!$P$2:$P$500,A74,Itens!$K$2:$K$500,"Corrigido 2026-10-15")+COUNTIFS(Itens!$P$2:$P$500,A74,Itens!$K$2:$K$500,"Corrigido 2026-10-16")+COUNTIFS(Itens!$P$2:$P$500,A74,Itens!$K$2:$K$500,"Corrigido 2026-10-09")</f>
        <v/>
      </c>
      <c r="G74" s="49">
        <f>COUNTIFS(Itens!$P$2:$P$500,A74,Itens!$K$2:$K$500,"Aberto / não resolvido")</f>
        <v/>
      </c>
      <c r="H74" s="49">
        <f>COUNTIFS(Itens!$P$2:$P$500,A74,Itens!$K$2:$K$500,"Correção pendente (audit)")</f>
        <v/>
      </c>
      <c r="I74" s="49">
        <f>COUNTIFS(Itens!$P$2:$P$500,A74,Itens!$K$2:$K$500,"Não auditado")</f>
        <v/>
      </c>
      <c r="J74" s="48" t="inlineStr">
        <is>
          <t>A1</t>
        </is>
      </c>
      <c r="K74" s="34" t="inlineStr">
        <is>
          <t>—</t>
        </is>
      </c>
      <c r="L74" s="50">
        <f>IFERROR(AVERAGEIF(Itens!$P$2:$P$500,A74,Itens!$L$2:$L$500),0)</f>
        <v/>
      </c>
    </row>
    <row r="75" ht="28" customHeight="1" s="21">
      <c r="A75" s="46" t="inlineStr">
        <is>
          <t>A1-Q5</t>
        </is>
      </c>
      <c r="B75" s="34" t="inlineStr">
        <is>
          <t>Gate do MAClockSource</t>
        </is>
      </c>
      <c r="C75" s="46">
        <f>IF(D75&gt;=1,"Fechado",IF(G75+H75&gt;0,"Com pendência",IF(I75&gt;0,"Parcial","Em dia")))</f>
        <v/>
      </c>
      <c r="D75" s="47">
        <f>IFERROR(F75/E75,0)</f>
        <v/>
      </c>
      <c r="E75" s="49">
        <f>COUNTIF(Itens!$P$2:$P$500,A75)</f>
        <v/>
      </c>
      <c r="F75" s="49">
        <f>COUNTIFS(Itens!$P$2:$P$500,A75,Itens!$K$2:$K$500,"Consistente")+COUNTIFS(Itens!$P$2:$P$500,A75,Itens!$K$2:$K$500,"Corrigido 2026-10-14")+COUNTIFS(Itens!$P$2:$P$500,A75,Itens!$K$2:$K$500,"Corrigido 2026-10-15")+COUNTIFS(Itens!$P$2:$P$500,A75,Itens!$K$2:$K$500,"Corrigido 2026-10-16")+COUNTIFS(Itens!$P$2:$P$500,A75,Itens!$K$2:$K$500,"Corrigido 2026-10-09")</f>
        <v/>
      </c>
      <c r="G75" s="49">
        <f>COUNTIFS(Itens!$P$2:$P$500,A75,Itens!$K$2:$K$500,"Aberto / não resolvido")</f>
        <v/>
      </c>
      <c r="H75" s="49">
        <f>COUNTIFS(Itens!$P$2:$P$500,A75,Itens!$K$2:$K$500,"Correção pendente (audit)")</f>
        <v/>
      </c>
      <c r="I75" s="49">
        <f>COUNTIFS(Itens!$P$2:$P$500,A75,Itens!$K$2:$K$500,"Não auditado")</f>
        <v/>
      </c>
      <c r="J75" s="48" t="inlineStr">
        <is>
          <t>A1</t>
        </is>
      </c>
      <c r="K75" s="34" t="inlineStr">
        <is>
          <t>—</t>
        </is>
      </c>
      <c r="L75" s="50">
        <f>IFERROR(AVERAGEIF(Itens!$P$2:$P$500,A75,Itens!$L$2:$L$500),0)</f>
        <v/>
      </c>
    </row>
    <row r="76" ht="28" customHeight="1" s="21">
      <c r="A76" s="46" t="inlineStr">
        <is>
          <t>A1-Q6</t>
        </is>
      </c>
      <c r="B76" s="34" t="inlineStr">
        <is>
          <t>Poll do HSCI</t>
        </is>
      </c>
      <c r="C76" s="46">
        <f>IF(D76&gt;=1,"Fechado",IF(G76+H76&gt;0,"Com pendência",IF(I76&gt;0,"Parcial","Em dia")))</f>
        <v/>
      </c>
      <c r="D76" s="47">
        <f>IFERROR(F76/E76,0)</f>
        <v/>
      </c>
      <c r="E76" s="49">
        <f>COUNTIF(Itens!$P$2:$P$500,A76)</f>
        <v/>
      </c>
      <c r="F76" s="49">
        <f>COUNTIFS(Itens!$P$2:$P$500,A76,Itens!$K$2:$K$500,"Consistente")+COUNTIFS(Itens!$P$2:$P$500,A76,Itens!$K$2:$K$500,"Corrigido 2026-10-14")+COUNTIFS(Itens!$P$2:$P$500,A76,Itens!$K$2:$K$500,"Corrigido 2026-10-15")+COUNTIFS(Itens!$P$2:$P$500,A76,Itens!$K$2:$K$500,"Corrigido 2026-10-16")+COUNTIFS(Itens!$P$2:$P$500,A76,Itens!$K$2:$K$500,"Corrigido 2026-10-09")</f>
        <v/>
      </c>
      <c r="G76" s="49">
        <f>COUNTIFS(Itens!$P$2:$P$500,A76,Itens!$K$2:$K$500,"Aberto / não resolvido")</f>
        <v/>
      </c>
      <c r="H76" s="49">
        <f>COUNTIFS(Itens!$P$2:$P$500,A76,Itens!$K$2:$K$500,"Correção pendente (audit)")</f>
        <v/>
      </c>
      <c r="I76" s="49">
        <f>COUNTIFS(Itens!$P$2:$P$500,A76,Itens!$K$2:$K$500,"Não auditado")</f>
        <v/>
      </c>
      <c r="J76" s="48" t="inlineStr">
        <is>
          <t>A1</t>
        </is>
      </c>
      <c r="K76" s="34" t="inlineStr">
        <is>
          <t>—</t>
        </is>
      </c>
      <c r="L76" s="50">
        <f>IFERROR(AVERAGEIF(Itens!$P$2:$P$500,A76,Itens!$L$2:$L$500),0)</f>
        <v/>
      </c>
    </row>
    <row r="77" ht="28" customHeight="1" s="21">
      <c r="A77" s="46" t="inlineStr">
        <is>
          <t>A1-Q7</t>
        </is>
      </c>
      <c r="B77" s="34" t="inlineStr">
        <is>
          <t>Máquina de estados do FWMetaNub</t>
        </is>
      </c>
      <c r="C77" s="46">
        <f>IF(D77&gt;=1,"Fechado",IF(G77+H77&gt;0,"Com pendência",IF(I77&gt;0,"Parcial","Em dia")))</f>
        <v/>
      </c>
      <c r="D77" s="47">
        <f>IFERROR(F77/E77,0)</f>
        <v/>
      </c>
      <c r="E77" s="49">
        <f>COUNTIF(Itens!$P$2:$P$500,A77)</f>
        <v/>
      </c>
      <c r="F77" s="49">
        <f>COUNTIFS(Itens!$P$2:$P$500,A77,Itens!$K$2:$K$500,"Consistente")+COUNTIFS(Itens!$P$2:$P$500,A77,Itens!$K$2:$K$500,"Corrigido 2026-10-14")+COUNTIFS(Itens!$P$2:$P$500,A77,Itens!$K$2:$K$500,"Corrigido 2026-10-15")+COUNTIFS(Itens!$P$2:$P$500,A77,Itens!$K$2:$K$500,"Corrigido 2026-10-16")+COUNTIFS(Itens!$P$2:$P$500,A77,Itens!$K$2:$K$500,"Corrigido 2026-10-09")</f>
        <v/>
      </c>
      <c r="G77" s="49">
        <f>COUNTIFS(Itens!$P$2:$P$500,A77,Itens!$K$2:$K$500,"Aberto / não resolvido")</f>
        <v/>
      </c>
      <c r="H77" s="49">
        <f>COUNTIFS(Itens!$P$2:$P$500,A77,Itens!$K$2:$K$500,"Correção pendente (audit)")</f>
        <v/>
      </c>
      <c r="I77" s="49">
        <f>COUNTIFS(Itens!$P$2:$P$500,A77,Itens!$K$2:$K$500,"Não auditado")</f>
        <v/>
      </c>
      <c r="J77" s="48" t="inlineStr">
        <is>
          <t>A1</t>
        </is>
      </c>
      <c r="K77" s="34" t="inlineStr">
        <is>
          <t>—</t>
        </is>
      </c>
      <c r="L77" s="50">
        <f>IFERROR(AVERAGEIF(Itens!$P$2:$P$500,A77,Itens!$L$2:$L$500),0)</f>
        <v/>
      </c>
    </row>
    <row r="78" ht="28" customHeight="1" s="21">
      <c r="A78" s="46" t="inlineStr">
        <is>
          <t>A1-Q8</t>
        </is>
      </c>
      <c r="B78" s="34" t="inlineStr">
        <is>
          <t>MakeAppleFWAudioGoAway</t>
        </is>
      </c>
      <c r="C78" s="46">
        <f>IF(D78&gt;=1,"Fechado",IF(G78+H78&gt;0,"Com pendência",IF(I78&gt;0,"Parcial","Em dia")))</f>
        <v/>
      </c>
      <c r="D78" s="47">
        <f>IFERROR(F78/E78,0)</f>
        <v/>
      </c>
      <c r="E78" s="49">
        <f>COUNTIF(Itens!$P$2:$P$500,A78)</f>
        <v/>
      </c>
      <c r="F78" s="49">
        <f>COUNTIFS(Itens!$P$2:$P$500,A78,Itens!$K$2:$K$500,"Consistente")+COUNTIFS(Itens!$P$2:$P$500,A78,Itens!$K$2:$K$500,"Corrigido 2026-10-14")+COUNTIFS(Itens!$P$2:$P$500,A78,Itens!$K$2:$K$500,"Corrigido 2026-10-15")+COUNTIFS(Itens!$P$2:$P$500,A78,Itens!$K$2:$K$500,"Corrigido 2026-10-16")+COUNTIFS(Itens!$P$2:$P$500,A78,Itens!$K$2:$K$500,"Corrigido 2026-10-09")</f>
        <v/>
      </c>
      <c r="G78" s="49">
        <f>COUNTIFS(Itens!$P$2:$P$500,A78,Itens!$K$2:$K$500,"Aberto / não resolvido")</f>
        <v/>
      </c>
      <c r="H78" s="49">
        <f>COUNTIFS(Itens!$P$2:$P$500,A78,Itens!$K$2:$K$500,"Correção pendente (audit)")</f>
        <v/>
      </c>
      <c r="I78" s="49">
        <f>COUNTIFS(Itens!$P$2:$P$500,A78,Itens!$K$2:$K$500,"Não auditado")</f>
        <v/>
      </c>
      <c r="J78" s="48" t="inlineStr">
        <is>
          <t>A1</t>
        </is>
      </c>
      <c r="K78" s="34" t="inlineStr">
        <is>
          <t>—</t>
        </is>
      </c>
      <c r="L78" s="50">
        <f>IFERROR(AVERAGEIF(Itens!$P$2:$P$500,A78,Itens!$L$2:$L$500),0)</f>
        <v/>
      </c>
    </row>
    <row r="79" ht="28" customHeight="1" s="21">
      <c r="A79" s="46" t="inlineStr">
        <is>
          <t>A1-Q-INFO</t>
        </is>
      </c>
      <c r="B79" s="34" t="inlineStr">
        <is>
          <t>Personalidades do Info.plist</t>
        </is>
      </c>
      <c r="C79" s="46">
        <f>IF(D79&gt;=1,"Fechado",IF(G79+H79&gt;0,"Com pendência",IF(I79&gt;0,"Parcial","Em dia")))</f>
        <v/>
      </c>
      <c r="D79" s="47">
        <f>IFERROR(F79/E79,0)</f>
        <v/>
      </c>
      <c r="E79" s="49">
        <f>COUNTIF(Itens!$P$2:$P$500,A79)</f>
        <v/>
      </c>
      <c r="F79" s="49">
        <f>COUNTIFS(Itens!$P$2:$P$500,A79,Itens!$K$2:$K$500,"Consistente")+COUNTIFS(Itens!$P$2:$P$500,A79,Itens!$K$2:$K$500,"Corrigido 2026-10-14")+COUNTIFS(Itens!$P$2:$P$500,A79,Itens!$K$2:$K$500,"Corrigido 2026-10-15")+COUNTIFS(Itens!$P$2:$P$500,A79,Itens!$K$2:$K$500,"Corrigido 2026-10-16")+COUNTIFS(Itens!$P$2:$P$500,A79,Itens!$K$2:$K$500,"Corrigido 2026-10-09")</f>
        <v/>
      </c>
      <c r="G79" s="49">
        <f>COUNTIFS(Itens!$P$2:$P$500,A79,Itens!$K$2:$K$500,"Aberto / não resolvido")</f>
        <v/>
      </c>
      <c r="H79" s="49">
        <f>COUNTIFS(Itens!$P$2:$P$500,A79,Itens!$K$2:$K$500,"Correção pendente (audit)")</f>
        <v/>
      </c>
      <c r="I79" s="49">
        <f>COUNTIFS(Itens!$P$2:$P$500,A79,Itens!$K$2:$K$500,"Não auditado")</f>
        <v/>
      </c>
      <c r="J79" s="48" t="inlineStr">
        <is>
          <t>A1</t>
        </is>
      </c>
      <c r="K79" s="34" t="inlineStr">
        <is>
          <t>—</t>
        </is>
      </c>
      <c r="L79" s="50">
        <f>IFERROR(AVERAGEIF(Itens!$P$2:$P$500,A79,Itens!$L$2:$L$500),0)</f>
        <v/>
      </c>
    </row>
    <row r="80" ht="28" customHeight="1" s="21">
      <c r="A80" s="46" t="inlineStr">
        <is>
          <t>A1-Q9</t>
        </is>
      </c>
      <c r="B80" s="34" t="inlineStr">
        <is>
          <t>WorkaroundFor1814InputDelay</t>
        </is>
      </c>
      <c r="C80" s="46">
        <f>IF(D80&gt;=1,"Fechado",IF(G80+H80&gt;0,"Com pendência",IF(I80&gt;0,"Parcial","Em dia")))</f>
        <v/>
      </c>
      <c r="D80" s="47">
        <f>IFERROR(F80/E80,0)</f>
        <v/>
      </c>
      <c r="E80" s="49">
        <f>COUNTIF(Itens!$P$2:$P$500,A80)</f>
        <v/>
      </c>
      <c r="F80" s="49">
        <f>COUNTIFS(Itens!$P$2:$P$500,A80,Itens!$K$2:$K$500,"Consistente")+COUNTIFS(Itens!$P$2:$P$500,A80,Itens!$K$2:$K$500,"Corrigido 2026-10-14")+COUNTIFS(Itens!$P$2:$P$500,A80,Itens!$K$2:$K$500,"Corrigido 2026-10-15")+COUNTIFS(Itens!$P$2:$P$500,A80,Itens!$K$2:$K$500,"Corrigido 2026-10-16")+COUNTIFS(Itens!$P$2:$P$500,A80,Itens!$K$2:$K$500,"Corrigido 2026-10-09")</f>
        <v/>
      </c>
      <c r="G80" s="49">
        <f>COUNTIFS(Itens!$P$2:$P$500,A80,Itens!$K$2:$K$500,"Aberto / não resolvido")</f>
        <v/>
      </c>
      <c r="H80" s="49">
        <f>COUNTIFS(Itens!$P$2:$P$500,A80,Itens!$K$2:$K$500,"Correção pendente (audit)")</f>
        <v/>
      </c>
      <c r="I80" s="49">
        <f>COUNTIFS(Itens!$P$2:$P$500,A80,Itens!$K$2:$K$500,"Não auditado")</f>
        <v/>
      </c>
      <c r="J80" s="48" t="inlineStr">
        <is>
          <t>A1</t>
        </is>
      </c>
      <c r="K80" s="34" t="inlineStr">
        <is>
          <t>—</t>
        </is>
      </c>
      <c r="L80" s="50">
        <f>IFERROR(AVERAGEIF(Itens!$P$2:$P$500,A80,Itens!$L$2:$L$500),0)</f>
        <v/>
      </c>
    </row>
    <row r="81" ht="28" customHeight="1" s="21">
      <c r="A81" s="46" t="inlineStr">
        <is>
          <t>A1-Q10</t>
        </is>
      </c>
      <c r="B81" s="34" t="inlineStr">
        <is>
          <t>Latência de ida-e-volta por FDF</t>
        </is>
      </c>
      <c r="C81" s="46">
        <f>IF(D81&gt;=1,"Fechado",IF(G81+H81&gt;0,"Com pendência",IF(I81&gt;0,"Parcial","Em dia")))</f>
        <v/>
      </c>
      <c r="D81" s="47">
        <f>IFERROR(F81/E81,0)</f>
        <v/>
      </c>
      <c r="E81" s="49">
        <f>COUNTIF(Itens!$P$2:$P$500,A81)</f>
        <v/>
      </c>
      <c r="F81" s="49">
        <f>COUNTIFS(Itens!$P$2:$P$500,A81,Itens!$K$2:$K$500,"Consistente")+COUNTIFS(Itens!$P$2:$P$500,A81,Itens!$K$2:$K$500,"Corrigido 2026-10-14")+COUNTIFS(Itens!$P$2:$P$500,A81,Itens!$K$2:$K$500,"Corrigido 2026-10-15")+COUNTIFS(Itens!$P$2:$P$500,A81,Itens!$K$2:$K$500,"Corrigido 2026-10-16")+COUNTIFS(Itens!$P$2:$P$500,A81,Itens!$K$2:$K$500,"Corrigido 2026-10-09")</f>
        <v/>
      </c>
      <c r="G81" s="49">
        <f>COUNTIFS(Itens!$P$2:$P$500,A81,Itens!$K$2:$K$500,"Aberto / não resolvido")</f>
        <v/>
      </c>
      <c r="H81" s="49">
        <f>COUNTIFS(Itens!$P$2:$P$500,A81,Itens!$K$2:$K$500,"Correção pendente (audit)")</f>
        <v/>
      </c>
      <c r="I81" s="49">
        <f>COUNTIFS(Itens!$P$2:$P$500,A81,Itens!$K$2:$K$500,"Não auditado")</f>
        <v/>
      </c>
      <c r="J81" s="48" t="inlineStr">
        <is>
          <t>A1</t>
        </is>
      </c>
      <c r="K81" s="34" t="inlineStr">
        <is>
          <t>—</t>
        </is>
      </c>
      <c r="L81" s="50">
        <f>IFERROR(AVERAGEIF(Itens!$P$2:$P$500,A81,Itens!$L$2:$L$500),0)</f>
        <v/>
      </c>
    </row>
    <row r="82" ht="28" customHeight="1" s="21">
      <c r="A82" s="46" t="inlineStr">
        <is>
          <t>A1-Q-UC</t>
        </is>
      </c>
      <c r="B82" s="34" t="inlineStr">
        <is>
          <t>Tabela de seletores 500–507</t>
        </is>
      </c>
      <c r="C82" s="46">
        <f>IF(D82&gt;=1,"Fechado",IF(G82+H82&gt;0,"Com pendência",IF(I82&gt;0,"Parcial","Em dia")))</f>
        <v/>
      </c>
      <c r="D82" s="47">
        <f>IFERROR(F82/E82,0)</f>
        <v/>
      </c>
      <c r="E82" s="49">
        <f>COUNTIF(Itens!$P$2:$P$500,A82)</f>
        <v/>
      </c>
      <c r="F82" s="49">
        <f>COUNTIFS(Itens!$P$2:$P$500,A82,Itens!$K$2:$K$500,"Consistente")+COUNTIFS(Itens!$P$2:$P$500,A82,Itens!$K$2:$K$500,"Corrigido 2026-10-14")+COUNTIFS(Itens!$P$2:$P$500,A82,Itens!$K$2:$K$500,"Corrigido 2026-10-15")+COUNTIFS(Itens!$P$2:$P$500,A82,Itens!$K$2:$K$500,"Corrigido 2026-10-16")+COUNTIFS(Itens!$P$2:$P$500,A82,Itens!$K$2:$K$500,"Corrigido 2026-10-09")</f>
        <v/>
      </c>
      <c r="G82" s="49">
        <f>COUNTIFS(Itens!$P$2:$P$500,A82,Itens!$K$2:$K$500,"Aberto / não resolvido")</f>
        <v/>
      </c>
      <c r="H82" s="49">
        <f>COUNTIFS(Itens!$P$2:$P$500,A82,Itens!$K$2:$K$500,"Correção pendente (audit)")</f>
        <v/>
      </c>
      <c r="I82" s="49">
        <f>COUNTIFS(Itens!$P$2:$P$500,A82,Itens!$K$2:$K$500,"Não auditado")</f>
        <v/>
      </c>
      <c r="J82" s="48" t="inlineStr">
        <is>
          <t>A1</t>
        </is>
      </c>
      <c r="K82" s="34" t="inlineStr">
        <is>
          <t>—</t>
        </is>
      </c>
      <c r="L82" s="50">
        <f>IFERROR(AVERAGEIF(Itens!$P$2:$P$500,A82,Itens!$L$2:$L$500),0)</f>
        <v/>
      </c>
    </row>
    <row r="83" ht="28" customHeight="1" s="21">
      <c r="A83" s="46" t="inlineStr">
        <is>
          <t>A1-Q12</t>
        </is>
      </c>
      <c r="B83" s="34" t="inlineStr">
        <is>
          <t>Passthrough AC3</t>
        </is>
      </c>
      <c r="C83" s="46">
        <f>IF(D83&gt;=1,"Fechado",IF(G83+H83&gt;0,"Com pendência",IF(I83&gt;0,"Parcial","Em dia")))</f>
        <v/>
      </c>
      <c r="D83" s="47">
        <f>IFERROR(F83/E83,0)</f>
        <v/>
      </c>
      <c r="E83" s="49">
        <f>COUNTIF(Itens!$P$2:$P$500,A83)</f>
        <v/>
      </c>
      <c r="F83" s="49">
        <f>COUNTIFS(Itens!$P$2:$P$500,A83,Itens!$K$2:$K$500,"Consistente")+COUNTIFS(Itens!$P$2:$P$500,A83,Itens!$K$2:$K$500,"Corrigido 2026-10-14")+COUNTIFS(Itens!$P$2:$P$500,A83,Itens!$K$2:$K$500,"Corrigido 2026-10-15")+COUNTIFS(Itens!$P$2:$P$500,A83,Itens!$K$2:$K$500,"Corrigido 2026-10-16")+COUNTIFS(Itens!$P$2:$P$500,A83,Itens!$K$2:$K$500,"Corrigido 2026-10-09")</f>
        <v/>
      </c>
      <c r="G83" s="49">
        <f>COUNTIFS(Itens!$P$2:$P$500,A83,Itens!$K$2:$K$500,"Aberto / não resolvido")</f>
        <v/>
      </c>
      <c r="H83" s="49">
        <f>COUNTIFS(Itens!$P$2:$P$500,A83,Itens!$K$2:$K$500,"Correção pendente (audit)")</f>
        <v/>
      </c>
      <c r="I83" s="49">
        <f>COUNTIFS(Itens!$P$2:$P$500,A83,Itens!$K$2:$K$500,"Não auditado")</f>
        <v/>
      </c>
      <c r="J83" s="48" t="inlineStr">
        <is>
          <t>A1</t>
        </is>
      </c>
      <c r="K83" s="34" t="inlineStr">
        <is>
          <t>—</t>
        </is>
      </c>
      <c r="L83" s="50">
        <f>IFERROR(AVERAGEIF(Itens!$P$2:$P$500,A83,Itens!$L$2:$L$500),0)</f>
        <v/>
      </c>
    </row>
    <row r="84" ht="28" customHeight="1" s="21">
      <c r="A84" s="46" t="inlineStr">
        <is>
          <t>A1-Q13</t>
        </is>
      </c>
      <c r="B84" s="34" t="inlineStr">
        <is>
          <t>Família de engines</t>
        </is>
      </c>
      <c r="C84" s="46">
        <f>IF(D84&gt;=1,"Fechado",IF(G84+H84&gt;0,"Com pendência",IF(I84&gt;0,"Parcial","Em dia")))</f>
        <v/>
      </c>
      <c r="D84" s="47">
        <f>IFERROR(F84/E84,0)</f>
        <v/>
      </c>
      <c r="E84" s="49">
        <f>COUNTIF(Itens!$P$2:$P$500,A84)</f>
        <v/>
      </c>
      <c r="F84" s="49">
        <f>COUNTIFS(Itens!$P$2:$P$500,A84,Itens!$K$2:$K$500,"Consistente")+COUNTIFS(Itens!$P$2:$P$500,A84,Itens!$K$2:$K$500,"Corrigido 2026-10-14")+COUNTIFS(Itens!$P$2:$P$500,A84,Itens!$K$2:$K$500,"Corrigido 2026-10-15")+COUNTIFS(Itens!$P$2:$P$500,A84,Itens!$K$2:$K$500,"Corrigido 2026-10-16")+COUNTIFS(Itens!$P$2:$P$500,A84,Itens!$K$2:$K$500,"Corrigido 2026-10-09")</f>
        <v/>
      </c>
      <c r="G84" s="49">
        <f>COUNTIFS(Itens!$P$2:$P$500,A84,Itens!$K$2:$K$500,"Aberto / não resolvido")</f>
        <v/>
      </c>
      <c r="H84" s="49">
        <f>COUNTIFS(Itens!$P$2:$P$500,A84,Itens!$K$2:$K$500,"Correção pendente (audit)")</f>
        <v/>
      </c>
      <c r="I84" s="49">
        <f>COUNTIFS(Itens!$P$2:$P$500,A84,Itens!$K$2:$K$500,"Não auditado")</f>
        <v/>
      </c>
      <c r="J84" s="48" t="inlineStr">
        <is>
          <t>A1</t>
        </is>
      </c>
      <c r="K84" s="34" t="inlineStr">
        <is>
          <t>—</t>
        </is>
      </c>
      <c r="L84" s="50">
        <f>IFERROR(AVERAGEIF(Itens!$P$2:$P$500,A84,Itens!$L$2:$L$500),0)</f>
        <v/>
      </c>
    </row>
    <row r="85" ht="28" customHeight="1" s="21">
      <c r="A85" s="46" t="inlineStr">
        <is>
          <t>A1-Q15</t>
        </is>
      </c>
      <c r="B85" s="34" t="inlineStr">
        <is>
          <t>Modelo de mixer tipado</t>
        </is>
      </c>
      <c r="C85" s="46">
        <f>IF(D85&gt;=1,"Fechado",IF(G85+H85&gt;0,"Com pendência",IF(I85&gt;0,"Parcial","Em dia")))</f>
        <v/>
      </c>
      <c r="D85" s="47">
        <f>IFERROR(F85/E85,0)</f>
        <v/>
      </c>
      <c r="E85" s="49">
        <f>COUNTIF(Itens!$P$2:$P$500,A85)</f>
        <v/>
      </c>
      <c r="F85" s="49">
        <f>COUNTIFS(Itens!$P$2:$P$500,A85,Itens!$K$2:$K$500,"Consistente")+COUNTIFS(Itens!$P$2:$P$500,A85,Itens!$K$2:$K$500,"Corrigido 2026-10-14")+COUNTIFS(Itens!$P$2:$P$500,A85,Itens!$K$2:$K$500,"Corrigido 2026-10-15")+COUNTIFS(Itens!$P$2:$P$500,A85,Itens!$K$2:$K$500,"Corrigido 2026-10-16")+COUNTIFS(Itens!$P$2:$P$500,A85,Itens!$K$2:$K$500,"Corrigido 2026-10-09")</f>
        <v/>
      </c>
      <c r="G85" s="49">
        <f>COUNTIFS(Itens!$P$2:$P$500,A85,Itens!$K$2:$K$500,"Aberto / não resolvido")</f>
        <v/>
      </c>
      <c r="H85" s="49">
        <f>COUNTIFS(Itens!$P$2:$P$500,A85,Itens!$K$2:$K$500,"Correção pendente (audit)")</f>
        <v/>
      </c>
      <c r="I85" s="49">
        <f>COUNTIFS(Itens!$P$2:$P$500,A85,Itens!$K$2:$K$500,"Não auditado")</f>
        <v/>
      </c>
      <c r="J85" s="48" t="inlineStr">
        <is>
          <t>A1</t>
        </is>
      </c>
      <c r="K85" s="34" t="inlineStr">
        <is>
          <t>—</t>
        </is>
      </c>
      <c r="L85" s="50">
        <f>IFERROR(AVERAGEIF(Itens!$P$2:$P$500,A85,Itens!$L$2:$L$500),0)</f>
        <v/>
      </c>
    </row>
    <row r="86" ht="28" customHeight="1" s="21">
      <c r="A86" s="46" t="inlineStr">
        <is>
          <t>A1-Q15b</t>
        </is>
      </c>
      <c r="B86" s="34" t="inlineStr">
        <is>
          <t>Despachante de setProperties</t>
        </is>
      </c>
      <c r="C86" s="46">
        <f>IF(D86&gt;=1,"Fechado",IF(G86+H86&gt;0,"Com pendência",IF(I86&gt;0,"Parcial","Em dia")))</f>
        <v/>
      </c>
      <c r="D86" s="47">
        <f>IFERROR(F86/E86,0)</f>
        <v/>
      </c>
      <c r="E86" s="49">
        <f>COUNTIF(Itens!$P$2:$P$500,A86)</f>
        <v/>
      </c>
      <c r="F86" s="49">
        <f>COUNTIFS(Itens!$P$2:$P$500,A86,Itens!$K$2:$K$500,"Consistente")+COUNTIFS(Itens!$P$2:$P$500,A86,Itens!$K$2:$K$500,"Corrigido 2026-10-14")+COUNTIFS(Itens!$P$2:$P$500,A86,Itens!$K$2:$K$500,"Corrigido 2026-10-15")+COUNTIFS(Itens!$P$2:$P$500,A86,Itens!$K$2:$K$500,"Corrigido 2026-10-16")+COUNTIFS(Itens!$P$2:$P$500,A86,Itens!$K$2:$K$500,"Corrigido 2026-10-09")</f>
        <v/>
      </c>
      <c r="G86" s="49">
        <f>COUNTIFS(Itens!$P$2:$P$500,A86,Itens!$K$2:$K$500,"Aberto / não resolvido")</f>
        <v/>
      </c>
      <c r="H86" s="49">
        <f>COUNTIFS(Itens!$P$2:$P$500,A86,Itens!$K$2:$K$500,"Correção pendente (audit)")</f>
        <v/>
      </c>
      <c r="I86" s="49">
        <f>COUNTIFS(Itens!$P$2:$P$500,A86,Itens!$K$2:$K$500,"Não auditado")</f>
        <v/>
      </c>
      <c r="J86" s="48" t="inlineStr">
        <is>
          <t>A1</t>
        </is>
      </c>
      <c r="K86" s="34" t="inlineStr">
        <is>
          <t>—</t>
        </is>
      </c>
      <c r="L86" s="50">
        <f>IFERROR(AVERAGEIF(Itens!$P$2:$P$500,A86,Itens!$L$2:$L$500),0)</f>
        <v/>
      </c>
    </row>
    <row r="87" ht="28" customHeight="1" s="21">
      <c r="A87" s="46" t="inlineStr">
        <is>
          <t>A1-Q15f</t>
        </is>
      </c>
      <c r="B87" s="34" t="inlineStr">
        <is>
          <t>Caminho único de escrita do mixer</t>
        </is>
      </c>
      <c r="C87" s="46">
        <f>IF(D87&gt;=1,"Fechado",IF(G87+H87&gt;0,"Com pendência",IF(I87&gt;0,"Parcial","Em dia")))</f>
        <v/>
      </c>
      <c r="D87" s="47">
        <f>IFERROR(F87/E87,0)</f>
        <v/>
      </c>
      <c r="E87" s="49">
        <f>COUNTIF(Itens!$P$2:$P$500,A87)</f>
        <v/>
      </c>
      <c r="F87" s="49">
        <f>COUNTIFS(Itens!$P$2:$P$500,A87,Itens!$K$2:$K$500,"Consistente")+COUNTIFS(Itens!$P$2:$P$500,A87,Itens!$K$2:$K$500,"Corrigido 2026-10-14")+COUNTIFS(Itens!$P$2:$P$500,A87,Itens!$K$2:$K$500,"Corrigido 2026-10-15")+COUNTIFS(Itens!$P$2:$P$500,A87,Itens!$K$2:$K$500,"Corrigido 2026-10-16")+COUNTIFS(Itens!$P$2:$P$500,A87,Itens!$K$2:$K$500,"Corrigido 2026-10-09")</f>
        <v/>
      </c>
      <c r="G87" s="49">
        <f>COUNTIFS(Itens!$P$2:$P$500,A87,Itens!$K$2:$K$500,"Aberto / não resolvido")</f>
        <v/>
      </c>
      <c r="H87" s="49">
        <f>COUNTIFS(Itens!$P$2:$P$500,A87,Itens!$K$2:$K$500,"Correção pendente (audit)")</f>
        <v/>
      </c>
      <c r="I87" s="49">
        <f>COUNTIFS(Itens!$P$2:$P$500,A87,Itens!$K$2:$K$500,"Não auditado")</f>
        <v/>
      </c>
      <c r="J87" s="48" t="inlineStr">
        <is>
          <t>A1</t>
        </is>
      </c>
      <c r="K87" s="34" t="inlineStr">
        <is>
          <t>—</t>
        </is>
      </c>
      <c r="L87" s="50">
        <f>IFERROR(AVERAGEIF(Itens!$P$2:$P$500,A87,Itens!$L$2:$L$500),0)</f>
        <v/>
      </c>
    </row>
    <row r="88" ht="28" customHeight="1" s="21">
      <c r="A88" s="46" t="inlineStr">
        <is>
          <t>A1-Q16</t>
        </is>
      </c>
      <c r="B88" s="34" t="inlineStr">
        <is>
          <t>Linhagem Rev1 do FW1814</t>
        </is>
      </c>
      <c r="C88" s="46">
        <f>IF(D88&gt;=1,"Fechado",IF(G88+H88&gt;0,"Com pendência",IF(I88&gt;0,"Parcial","Em dia")))</f>
        <v/>
      </c>
      <c r="D88" s="47">
        <f>IFERROR(F88/E88,0)</f>
        <v/>
      </c>
      <c r="E88" s="49">
        <f>COUNTIF(Itens!$P$2:$P$500,A88)</f>
        <v/>
      </c>
      <c r="F88" s="49">
        <f>COUNTIFS(Itens!$P$2:$P$500,A88,Itens!$K$2:$K$500,"Consistente")+COUNTIFS(Itens!$P$2:$P$500,A88,Itens!$K$2:$K$500,"Corrigido 2026-10-14")+COUNTIFS(Itens!$P$2:$P$500,A88,Itens!$K$2:$K$500,"Corrigido 2026-10-15")+COUNTIFS(Itens!$P$2:$P$500,A88,Itens!$K$2:$K$500,"Corrigido 2026-10-16")+COUNTIFS(Itens!$P$2:$P$500,A88,Itens!$K$2:$K$500,"Corrigido 2026-10-09")</f>
        <v/>
      </c>
      <c r="G88" s="49">
        <f>COUNTIFS(Itens!$P$2:$P$500,A88,Itens!$K$2:$K$500,"Aberto / não resolvido")</f>
        <v/>
      </c>
      <c r="H88" s="49">
        <f>COUNTIFS(Itens!$P$2:$P$500,A88,Itens!$K$2:$K$500,"Correção pendente (audit)")</f>
        <v/>
      </c>
      <c r="I88" s="49">
        <f>COUNTIFS(Itens!$P$2:$P$500,A88,Itens!$K$2:$K$500,"Não auditado")</f>
        <v/>
      </c>
      <c r="J88" s="48" t="inlineStr">
        <is>
          <t>A1</t>
        </is>
      </c>
      <c r="K88" s="34" t="inlineStr">
        <is>
          <t>—</t>
        </is>
      </c>
      <c r="L88" s="50">
        <f>IFERROR(AVERAGEIF(Itens!$P$2:$P$500,A88,Itens!$L$2:$L$500),0)</f>
        <v/>
      </c>
    </row>
    <row r="89" ht="28" customHeight="1" s="21">
      <c r="A89" s="46" t="inlineStr">
        <is>
          <t>A1-Q17</t>
        </is>
      </c>
      <c r="B89" s="34" t="inlineStr">
        <is>
          <t>TPacketPool e silêncio AM824</t>
        </is>
      </c>
      <c r="C89" s="46">
        <f>IF(D89&gt;=1,"Fechado",IF(G89+H89&gt;0,"Com pendência",IF(I89&gt;0,"Parcial","Em dia")))</f>
        <v/>
      </c>
      <c r="D89" s="47">
        <f>IFERROR(F89/E89,0)</f>
        <v/>
      </c>
      <c r="E89" s="49">
        <f>COUNTIF(Itens!$P$2:$P$500,A89)</f>
        <v/>
      </c>
      <c r="F89" s="49">
        <f>COUNTIFS(Itens!$P$2:$P$500,A89,Itens!$K$2:$K$500,"Consistente")+COUNTIFS(Itens!$P$2:$P$500,A89,Itens!$K$2:$K$500,"Corrigido 2026-10-14")+COUNTIFS(Itens!$P$2:$P$500,A89,Itens!$K$2:$K$500,"Corrigido 2026-10-15")+COUNTIFS(Itens!$P$2:$P$500,A89,Itens!$K$2:$K$500,"Corrigido 2026-10-16")+COUNTIFS(Itens!$P$2:$P$500,A89,Itens!$K$2:$K$500,"Corrigido 2026-10-09")</f>
        <v/>
      </c>
      <c r="G89" s="49">
        <f>COUNTIFS(Itens!$P$2:$P$500,A89,Itens!$K$2:$K$500,"Aberto / não resolvido")</f>
        <v/>
      </c>
      <c r="H89" s="49">
        <f>COUNTIFS(Itens!$P$2:$P$500,A89,Itens!$K$2:$K$500,"Correção pendente (audit)")</f>
        <v/>
      </c>
      <c r="I89" s="49">
        <f>COUNTIFS(Itens!$P$2:$P$500,A89,Itens!$K$2:$K$500,"Não auditado")</f>
        <v/>
      </c>
      <c r="J89" s="48" t="inlineStr">
        <is>
          <t>A1</t>
        </is>
      </c>
      <c r="K89" s="34" t="inlineStr">
        <is>
          <t>A1-Q17.2: Testar no hardware: label 0x40 vs 0xCF.</t>
        </is>
      </c>
      <c r="L89" s="50">
        <f>IFERROR(AVERAGEIF(Itens!$P$2:$P$500,A89,Itens!$L$2:$L$500),0)</f>
        <v/>
      </c>
    </row>
    <row r="90" ht="28" customHeight="1" s="21">
      <c r="A90" s="46" t="inlineStr">
        <is>
          <t>A1-Q-SDK</t>
        </is>
      </c>
      <c r="B90" s="34" t="inlineStr">
        <is>
          <t>Slots reservados no SDK 10.13</t>
        </is>
      </c>
      <c r="C90" s="46">
        <f>IF(D90&gt;=1,"Fechado",IF(G90+H90&gt;0,"Com pendência",IF(I90&gt;0,"Parcial","Em dia")))</f>
        <v/>
      </c>
      <c r="D90" s="47">
        <f>IFERROR(F90/E90,0)</f>
        <v/>
      </c>
      <c r="E90" s="49">
        <f>COUNTIF(Itens!$P$2:$P$500,A90)</f>
        <v/>
      </c>
      <c r="F90" s="49">
        <f>COUNTIFS(Itens!$P$2:$P$500,A90,Itens!$K$2:$K$500,"Consistente")+COUNTIFS(Itens!$P$2:$P$500,A90,Itens!$K$2:$K$500,"Corrigido 2026-10-14")+COUNTIFS(Itens!$P$2:$P$500,A90,Itens!$K$2:$K$500,"Corrigido 2026-10-15")+COUNTIFS(Itens!$P$2:$P$500,A90,Itens!$K$2:$K$500,"Corrigido 2026-10-16")+COUNTIFS(Itens!$P$2:$P$500,A90,Itens!$K$2:$K$500,"Corrigido 2026-10-09")</f>
        <v/>
      </c>
      <c r="G90" s="49">
        <f>COUNTIFS(Itens!$P$2:$P$500,A90,Itens!$K$2:$K$500,"Aberto / não resolvido")</f>
        <v/>
      </c>
      <c r="H90" s="49">
        <f>COUNTIFS(Itens!$P$2:$P$500,A90,Itens!$K$2:$K$500,"Correção pendente (audit)")</f>
        <v/>
      </c>
      <c r="I90" s="49">
        <f>COUNTIFS(Itens!$P$2:$P$500,A90,Itens!$K$2:$K$500,"Não auditado")</f>
        <v/>
      </c>
      <c r="J90" s="48" t="inlineStr">
        <is>
          <t>A1</t>
        </is>
      </c>
      <c r="K90" s="34" t="inlineStr">
        <is>
          <t>—</t>
        </is>
      </c>
      <c r="L90" s="50">
        <f>IFERROR(AVERAGEIF(Itens!$P$2:$P$500,A90,Itens!$L$2:$L$500),0)</f>
        <v/>
      </c>
    </row>
    <row r="91" ht="28" customHeight="1" s="21">
      <c r="A91" s="46" t="inlineStr">
        <is>
          <t>A1-Q3b</t>
        </is>
      </c>
      <c r="B91" s="34" t="inlineStr">
        <is>
          <t>Padrões de fábrica</t>
        </is>
      </c>
      <c r="C91" s="46">
        <f>IF(D91&gt;=1,"Fechado",IF(G91+H91&gt;0,"Com pendência",IF(I91&gt;0,"Parcial","Em dia")))</f>
        <v/>
      </c>
      <c r="D91" s="47">
        <f>IFERROR(F91/E91,0)</f>
        <v/>
      </c>
      <c r="E91" s="49">
        <f>COUNTIF(Itens!$P$2:$P$500,A91)</f>
        <v/>
      </c>
      <c r="F91" s="49">
        <f>COUNTIFS(Itens!$P$2:$P$500,A91,Itens!$K$2:$K$500,"Consistente")+COUNTIFS(Itens!$P$2:$P$500,A91,Itens!$K$2:$K$500,"Corrigido 2026-10-14")+COUNTIFS(Itens!$P$2:$P$500,A91,Itens!$K$2:$K$500,"Corrigido 2026-10-15")+COUNTIFS(Itens!$P$2:$P$500,A91,Itens!$K$2:$K$500,"Corrigido 2026-10-16")+COUNTIFS(Itens!$P$2:$P$500,A91,Itens!$K$2:$K$500,"Corrigido 2026-10-09")</f>
        <v/>
      </c>
      <c r="G91" s="49">
        <f>COUNTIFS(Itens!$P$2:$P$500,A91,Itens!$K$2:$K$500,"Aberto / não resolvido")</f>
        <v/>
      </c>
      <c r="H91" s="49">
        <f>COUNTIFS(Itens!$P$2:$P$500,A91,Itens!$K$2:$K$500,"Correção pendente (audit)")</f>
        <v/>
      </c>
      <c r="I91" s="49">
        <f>COUNTIFS(Itens!$P$2:$P$500,A91,Itens!$K$2:$K$500,"Não auditado")</f>
        <v/>
      </c>
      <c r="J91" s="48" t="inlineStr">
        <is>
          <t>A1</t>
        </is>
      </c>
      <c r="K91" s="34" t="inlineStr">
        <is>
          <t>—</t>
        </is>
      </c>
      <c r="L91" s="50">
        <f>IFERROR(AVERAGEIF(Itens!$P$2:$P$500,A91,Itens!$L$2:$L$500),0)</f>
        <v/>
      </c>
    </row>
    <row r="92" ht="28" customHeight="1" s="21">
      <c r="A92" s="46" t="inlineStr">
        <is>
          <t>A2-P1</t>
        </is>
      </c>
      <c r="B92" s="34" t="inlineStr">
        <is>
          <t>Descoberta do dispositivo no painel</t>
        </is>
      </c>
      <c r="C92" s="46">
        <f>IF(D92&gt;=1,"Fechado",IF(G92+H92&gt;0,"Com pendência",IF(I92&gt;0,"Parcial","Em dia")))</f>
        <v/>
      </c>
      <c r="D92" s="47">
        <f>IFERROR(F92/E92,0)</f>
        <v/>
      </c>
      <c r="E92" s="49">
        <f>COUNTIF(Itens!$P$2:$P$500,A92)</f>
        <v/>
      </c>
      <c r="F92" s="49">
        <f>COUNTIFS(Itens!$P$2:$P$500,A92,Itens!$K$2:$K$500,"Consistente")+COUNTIFS(Itens!$P$2:$P$500,A92,Itens!$K$2:$K$500,"Corrigido 2026-10-14")+COUNTIFS(Itens!$P$2:$P$500,A92,Itens!$K$2:$K$500,"Corrigido 2026-10-15")+COUNTIFS(Itens!$P$2:$P$500,A92,Itens!$K$2:$K$500,"Corrigido 2026-10-16")+COUNTIFS(Itens!$P$2:$P$500,A92,Itens!$K$2:$K$500,"Corrigido 2026-10-09")</f>
        <v/>
      </c>
      <c r="G92" s="49">
        <f>COUNTIFS(Itens!$P$2:$P$500,A92,Itens!$K$2:$K$500,"Aberto / não resolvido")</f>
        <v/>
      </c>
      <c r="H92" s="49">
        <f>COUNTIFS(Itens!$P$2:$P$500,A92,Itens!$K$2:$K$500,"Correção pendente (audit)")</f>
        <v/>
      </c>
      <c r="I92" s="49">
        <f>COUNTIFS(Itens!$P$2:$P$500,A92,Itens!$K$2:$K$500,"Não auditado")</f>
        <v/>
      </c>
      <c r="J92" s="48" t="inlineStr">
        <is>
          <t>A2</t>
        </is>
      </c>
      <c r="K92" s="34" t="inlineStr">
        <is>
          <t>—</t>
        </is>
      </c>
      <c r="L92" s="50">
        <f>IFERROR(AVERAGEIF(Itens!$P$2:$P$500,A92,Itens!$L$2:$L$500),0)</f>
        <v/>
      </c>
    </row>
    <row r="93" ht="28" customHeight="1" s="21">
      <c r="A93" s="46" t="inlineStr">
        <is>
          <t>A2-P2</t>
        </is>
      </c>
      <c r="B93" s="34" t="inlineStr">
        <is>
          <t>Recepção de notificações</t>
        </is>
      </c>
      <c r="C93" s="46">
        <f>IF(D93&gt;=1,"Fechado",IF(G93+H93&gt;0,"Com pendência",IF(I93&gt;0,"Parcial","Em dia")))</f>
        <v/>
      </c>
      <c r="D93" s="47">
        <f>IFERROR(F93/E93,0)</f>
        <v/>
      </c>
      <c r="E93" s="49">
        <f>COUNTIF(Itens!$P$2:$P$500,A93)</f>
        <v/>
      </c>
      <c r="F93" s="49">
        <f>COUNTIFS(Itens!$P$2:$P$500,A93,Itens!$K$2:$K$500,"Consistente")+COUNTIFS(Itens!$P$2:$P$500,A93,Itens!$K$2:$K$500,"Corrigido 2026-10-14")+COUNTIFS(Itens!$P$2:$P$500,A93,Itens!$K$2:$K$500,"Corrigido 2026-10-15")+COUNTIFS(Itens!$P$2:$P$500,A93,Itens!$K$2:$K$500,"Corrigido 2026-10-16")+COUNTIFS(Itens!$P$2:$P$500,A93,Itens!$K$2:$K$500,"Corrigido 2026-10-09")</f>
        <v/>
      </c>
      <c r="G93" s="49">
        <f>COUNTIFS(Itens!$P$2:$P$500,A93,Itens!$K$2:$K$500,"Aberto / não resolvido")</f>
        <v/>
      </c>
      <c r="H93" s="49">
        <f>COUNTIFS(Itens!$P$2:$P$500,A93,Itens!$K$2:$K$500,"Correção pendente (audit)")</f>
        <v/>
      </c>
      <c r="I93" s="49">
        <f>COUNTIFS(Itens!$P$2:$P$500,A93,Itens!$K$2:$K$500,"Não auditado")</f>
        <v/>
      </c>
      <c r="J93" s="48" t="inlineStr">
        <is>
          <t>A2</t>
        </is>
      </c>
      <c r="K93" s="34" t="inlineStr">
        <is>
          <t>—</t>
        </is>
      </c>
      <c r="L93" s="50">
        <f>IFERROR(AVERAGEIF(Itens!$P$2:$P$500,A93,Itens!$L$2:$L$500),0)</f>
        <v/>
      </c>
    </row>
    <row r="94" ht="28" customHeight="1" s="21">
      <c r="A94" s="46" t="inlineStr">
        <is>
          <t>A2-P3</t>
        </is>
      </c>
      <c r="B94" s="34" t="inlineStr">
        <is>
          <t>Superfície de 46 chaves MA*</t>
        </is>
      </c>
      <c r="C94" s="46">
        <f>IF(D94&gt;=1,"Fechado",IF(G94+H94&gt;0,"Com pendência",IF(I94&gt;0,"Parcial","Em dia")))</f>
        <v/>
      </c>
      <c r="D94" s="47">
        <f>IFERROR(F94/E94,0)</f>
        <v/>
      </c>
      <c r="E94" s="49">
        <f>COUNTIF(Itens!$P$2:$P$500,A94)</f>
        <v/>
      </c>
      <c r="F94" s="49">
        <f>COUNTIFS(Itens!$P$2:$P$500,A94,Itens!$K$2:$K$500,"Consistente")+COUNTIFS(Itens!$P$2:$P$500,A94,Itens!$K$2:$K$500,"Corrigido 2026-10-14")+COUNTIFS(Itens!$P$2:$P$500,A94,Itens!$K$2:$K$500,"Corrigido 2026-10-15")+COUNTIFS(Itens!$P$2:$P$500,A94,Itens!$K$2:$K$500,"Corrigido 2026-10-16")+COUNTIFS(Itens!$P$2:$P$500,A94,Itens!$K$2:$K$500,"Corrigido 2026-10-09")</f>
        <v/>
      </c>
      <c r="G94" s="49">
        <f>COUNTIFS(Itens!$P$2:$P$500,A94,Itens!$K$2:$K$500,"Aberto / não resolvido")</f>
        <v/>
      </c>
      <c r="H94" s="49">
        <f>COUNTIFS(Itens!$P$2:$P$500,A94,Itens!$K$2:$K$500,"Correção pendente (audit)")</f>
        <v/>
      </c>
      <c r="I94" s="49">
        <f>COUNTIFS(Itens!$P$2:$P$500,A94,Itens!$K$2:$K$500,"Não auditado")</f>
        <v/>
      </c>
      <c r="J94" s="48" t="inlineStr">
        <is>
          <t>A2</t>
        </is>
      </c>
      <c r="K94" s="34" t="inlineStr">
        <is>
          <t>—</t>
        </is>
      </c>
      <c r="L94" s="50">
        <f>IFERROR(AVERAGEIF(Itens!$P$2:$P$500,A94,Itens!$L$2:$L$500),0)</f>
        <v/>
      </c>
    </row>
    <row r="95" ht="28" customHeight="1" s="21">
      <c r="A95" s="46" t="inlineStr">
        <is>
          <t>A2-P5</t>
        </is>
      </c>
      <c r="B95" s="34" t="inlineStr">
        <is>
          <t>Hardware view e gating</t>
        </is>
      </c>
      <c r="C95" s="46">
        <f>IF(D95&gt;=1,"Fechado",IF(G95+H95&gt;0,"Com pendência",IF(I95&gt;0,"Parcial","Em dia")))</f>
        <v/>
      </c>
      <c r="D95" s="47">
        <f>IFERROR(F95/E95,0)</f>
        <v/>
      </c>
      <c r="E95" s="49">
        <f>COUNTIF(Itens!$P$2:$P$500,A95)</f>
        <v/>
      </c>
      <c r="F95" s="49">
        <f>COUNTIFS(Itens!$P$2:$P$500,A95,Itens!$K$2:$K$500,"Consistente")+COUNTIFS(Itens!$P$2:$P$500,A95,Itens!$K$2:$K$500,"Corrigido 2026-10-14")+COUNTIFS(Itens!$P$2:$P$500,A95,Itens!$K$2:$K$500,"Corrigido 2026-10-15")+COUNTIFS(Itens!$P$2:$P$500,A95,Itens!$K$2:$K$500,"Corrigido 2026-10-16")+COUNTIFS(Itens!$P$2:$P$500,A95,Itens!$K$2:$K$500,"Corrigido 2026-10-09")</f>
        <v/>
      </c>
      <c r="G95" s="49">
        <f>COUNTIFS(Itens!$P$2:$P$500,A95,Itens!$K$2:$K$500,"Aberto / não resolvido")</f>
        <v/>
      </c>
      <c r="H95" s="49">
        <f>COUNTIFS(Itens!$P$2:$P$500,A95,Itens!$K$2:$K$500,"Correção pendente (audit)")</f>
        <v/>
      </c>
      <c r="I95" s="49">
        <f>COUNTIFS(Itens!$P$2:$P$500,A95,Itens!$K$2:$K$500,"Não auditado")</f>
        <v/>
      </c>
      <c r="J95" s="48" t="inlineStr">
        <is>
          <t>A2</t>
        </is>
      </c>
      <c r="K95" s="34" t="inlineStr">
        <is>
          <t>—</t>
        </is>
      </c>
      <c r="L95" s="50">
        <f>IFERROR(AVERAGEIF(Itens!$P$2:$P$500,A95,Itens!$L$2:$L$500),0)</f>
        <v/>
      </c>
    </row>
    <row r="96" ht="28" customHeight="1" s="21">
      <c r="A96" s="46" t="inlineStr">
        <is>
          <t>A2-P6</t>
        </is>
      </c>
      <c r="B96" s="34" t="inlineStr">
        <is>
          <t>Mixer view</t>
        </is>
      </c>
      <c r="C96" s="46">
        <f>IF(D96&gt;=1,"Fechado",IF(G96+H96&gt;0,"Com pendência",IF(I96&gt;0,"Parcial","Em dia")))</f>
        <v/>
      </c>
      <c r="D96" s="47">
        <f>IFERROR(F96/E96,0)</f>
        <v/>
      </c>
      <c r="E96" s="49">
        <f>COUNTIF(Itens!$P$2:$P$500,A96)</f>
        <v/>
      </c>
      <c r="F96" s="49">
        <f>COUNTIFS(Itens!$P$2:$P$500,A96,Itens!$K$2:$K$500,"Consistente")+COUNTIFS(Itens!$P$2:$P$500,A96,Itens!$K$2:$K$500,"Corrigido 2026-10-14")+COUNTIFS(Itens!$P$2:$P$500,A96,Itens!$K$2:$K$500,"Corrigido 2026-10-15")+COUNTIFS(Itens!$P$2:$P$500,A96,Itens!$K$2:$K$500,"Corrigido 2026-10-16")+COUNTIFS(Itens!$P$2:$P$500,A96,Itens!$K$2:$K$500,"Corrigido 2026-10-09")</f>
        <v/>
      </c>
      <c r="G96" s="49">
        <f>COUNTIFS(Itens!$P$2:$P$500,A96,Itens!$K$2:$K$500,"Aberto / não resolvido")</f>
        <v/>
      </c>
      <c r="H96" s="49">
        <f>COUNTIFS(Itens!$P$2:$P$500,A96,Itens!$K$2:$K$500,"Correção pendente (audit)")</f>
        <v/>
      </c>
      <c r="I96" s="49">
        <f>COUNTIFS(Itens!$P$2:$P$500,A96,Itens!$K$2:$K$500,"Não auditado")</f>
        <v/>
      </c>
      <c r="J96" s="48" t="inlineStr">
        <is>
          <t>A2</t>
        </is>
      </c>
      <c r="K96" s="34" t="inlineStr">
        <is>
          <t>—</t>
        </is>
      </c>
      <c r="L96" s="50">
        <f>IFERROR(AVERAGEIF(Itens!$P$2:$P$500,A96,Itens!$L$2:$L$500),0)</f>
        <v/>
      </c>
    </row>
    <row r="97" ht="28" customHeight="1" s="21">
      <c r="A97" s="46" t="inlineStr">
        <is>
          <t>A2-P7</t>
        </is>
      </c>
      <c r="B97" s="34" t="inlineStr">
        <is>
          <t>Tradutor cookie ↔ chave</t>
        </is>
      </c>
      <c r="C97" s="46">
        <f>IF(D97&gt;=1,"Fechado",IF(G97+H97&gt;0,"Com pendência",IF(I97&gt;0,"Parcial","Em dia")))</f>
        <v/>
      </c>
      <c r="D97" s="47">
        <f>IFERROR(F97/E97,0)</f>
        <v/>
      </c>
      <c r="E97" s="49">
        <f>COUNTIF(Itens!$P$2:$P$500,A97)</f>
        <v/>
      </c>
      <c r="F97" s="49">
        <f>COUNTIFS(Itens!$P$2:$P$500,A97,Itens!$K$2:$K$500,"Consistente")+COUNTIFS(Itens!$P$2:$P$500,A97,Itens!$K$2:$K$500,"Corrigido 2026-10-14")+COUNTIFS(Itens!$P$2:$P$500,A97,Itens!$K$2:$K$500,"Corrigido 2026-10-15")+COUNTIFS(Itens!$P$2:$P$500,A97,Itens!$K$2:$K$500,"Corrigido 2026-10-16")+COUNTIFS(Itens!$P$2:$P$500,A97,Itens!$K$2:$K$500,"Corrigido 2026-10-09")</f>
        <v/>
      </c>
      <c r="G97" s="49">
        <f>COUNTIFS(Itens!$P$2:$P$500,A97,Itens!$K$2:$K$500,"Aberto / não resolvido")</f>
        <v/>
      </c>
      <c r="H97" s="49">
        <f>COUNTIFS(Itens!$P$2:$P$500,A97,Itens!$K$2:$K$500,"Correção pendente (audit)")</f>
        <v/>
      </c>
      <c r="I97" s="49">
        <f>COUNTIFS(Itens!$P$2:$P$500,A97,Itens!$K$2:$K$500,"Não auditado")</f>
        <v/>
      </c>
      <c r="J97" s="48" t="inlineStr">
        <is>
          <t>A2</t>
        </is>
      </c>
      <c r="K97" s="34" t="inlineStr">
        <is>
          <t>—</t>
        </is>
      </c>
      <c r="L97" s="50">
        <f>IFERROR(AVERAGEIF(Itens!$P$2:$P$500,A97,Itens!$L$2:$L$500),0)</f>
        <v/>
      </c>
    </row>
    <row r="98" ht="28" customHeight="1" s="21">
      <c r="A98" s="46" t="inlineStr">
        <is>
          <t>A2-P8</t>
        </is>
      </c>
      <c r="B98" s="34" t="inlineStr">
        <is>
          <t>Taxa e buffer no painel</t>
        </is>
      </c>
      <c r="C98" s="46">
        <f>IF(D98&gt;=1,"Fechado",IF(G98+H98&gt;0,"Com pendência",IF(I98&gt;0,"Parcial","Em dia")))</f>
        <v/>
      </c>
      <c r="D98" s="47">
        <f>IFERROR(F98/E98,0)</f>
        <v/>
      </c>
      <c r="E98" s="49">
        <f>COUNTIF(Itens!$P$2:$P$500,A98)</f>
        <v/>
      </c>
      <c r="F98" s="49">
        <f>COUNTIFS(Itens!$P$2:$P$500,A98,Itens!$K$2:$K$500,"Consistente")+COUNTIFS(Itens!$P$2:$P$500,A98,Itens!$K$2:$K$500,"Corrigido 2026-10-14")+COUNTIFS(Itens!$P$2:$P$500,A98,Itens!$K$2:$K$500,"Corrigido 2026-10-15")+COUNTIFS(Itens!$P$2:$P$500,A98,Itens!$K$2:$K$500,"Corrigido 2026-10-16")+COUNTIFS(Itens!$P$2:$P$500,A98,Itens!$K$2:$K$500,"Corrigido 2026-10-09")</f>
        <v/>
      </c>
      <c r="G98" s="49">
        <f>COUNTIFS(Itens!$P$2:$P$500,A98,Itens!$K$2:$K$500,"Aberto / não resolvido")</f>
        <v/>
      </c>
      <c r="H98" s="49">
        <f>COUNTIFS(Itens!$P$2:$P$500,A98,Itens!$K$2:$K$500,"Correção pendente (audit)")</f>
        <v/>
      </c>
      <c r="I98" s="49">
        <f>COUNTIFS(Itens!$P$2:$P$500,A98,Itens!$K$2:$K$500,"Não auditado")</f>
        <v/>
      </c>
      <c r="J98" s="48" t="inlineStr">
        <is>
          <t>A2</t>
        </is>
      </c>
      <c r="K98" s="34" t="inlineStr">
        <is>
          <t>—</t>
        </is>
      </c>
      <c r="L98" s="50">
        <f>IFERROR(AVERAGEIF(Itens!$P$2:$P$500,A98,Itens!$L$2:$L$500),0)</f>
        <v/>
      </c>
    </row>
    <row r="99" ht="28" customHeight="1" s="21">
      <c r="A99" s="46" t="inlineStr">
        <is>
          <t>A2-P9</t>
        </is>
      </c>
      <c r="B99" s="34" t="inlineStr">
        <is>
          <t>Leitura de picos no painel</t>
        </is>
      </c>
      <c r="C99" s="46">
        <f>IF(D99&gt;=1,"Fechado",IF(G99+H99&gt;0,"Com pendência",IF(I99&gt;0,"Parcial","Em dia")))</f>
        <v/>
      </c>
      <c r="D99" s="47">
        <f>IFERROR(F99/E99,0)</f>
        <v/>
      </c>
      <c r="E99" s="49">
        <f>COUNTIF(Itens!$P$2:$P$500,A99)</f>
        <v/>
      </c>
      <c r="F99" s="49">
        <f>COUNTIFS(Itens!$P$2:$P$500,A99,Itens!$K$2:$K$500,"Consistente")+COUNTIFS(Itens!$P$2:$P$500,A99,Itens!$K$2:$K$500,"Corrigido 2026-10-14")+COUNTIFS(Itens!$P$2:$P$500,A99,Itens!$K$2:$K$500,"Corrigido 2026-10-15")+COUNTIFS(Itens!$P$2:$P$500,A99,Itens!$K$2:$K$500,"Corrigido 2026-10-16")+COUNTIFS(Itens!$P$2:$P$500,A99,Itens!$K$2:$K$500,"Corrigido 2026-10-09")</f>
        <v/>
      </c>
      <c r="G99" s="49">
        <f>COUNTIFS(Itens!$P$2:$P$500,A99,Itens!$K$2:$K$500,"Aberto / não resolvido")</f>
        <v/>
      </c>
      <c r="H99" s="49">
        <f>COUNTIFS(Itens!$P$2:$P$500,A99,Itens!$K$2:$K$500,"Correção pendente (audit)")</f>
        <v/>
      </c>
      <c r="I99" s="49">
        <f>COUNTIFS(Itens!$P$2:$P$500,A99,Itens!$K$2:$K$500,"Não auditado")</f>
        <v/>
      </c>
      <c r="J99" s="48" t="inlineStr">
        <is>
          <t>A2</t>
        </is>
      </c>
      <c r="K99" s="34" t="inlineStr">
        <is>
          <t>—</t>
        </is>
      </c>
      <c r="L99" s="50">
        <f>IFERROR(AVERAGEIF(Itens!$P$2:$P$500,A99,Itens!$L$2:$L$500),0)</f>
        <v/>
      </c>
    </row>
    <row r="100" ht="28" customHeight="1" s="21">
      <c r="A100" s="46" t="inlineStr">
        <is>
          <t>A2-P10</t>
        </is>
      </c>
      <c r="B100" s="34" t="inlineStr">
        <is>
          <t>AC3 no painel</t>
        </is>
      </c>
      <c r="C100" s="46">
        <f>IF(D100&gt;=1,"Fechado",IF(G100+H100&gt;0,"Com pendência",IF(I100&gt;0,"Parcial","Em dia")))</f>
        <v/>
      </c>
      <c r="D100" s="47">
        <f>IFERROR(F100/E100,0)</f>
        <v/>
      </c>
      <c r="E100" s="49">
        <f>COUNTIF(Itens!$P$2:$P$500,A100)</f>
        <v/>
      </c>
      <c r="F100" s="49">
        <f>COUNTIFS(Itens!$P$2:$P$500,A100,Itens!$K$2:$K$500,"Consistente")+COUNTIFS(Itens!$P$2:$P$500,A100,Itens!$K$2:$K$500,"Corrigido 2026-10-14")+COUNTIFS(Itens!$P$2:$P$500,A100,Itens!$K$2:$K$500,"Corrigido 2026-10-15")+COUNTIFS(Itens!$P$2:$P$500,A100,Itens!$K$2:$K$500,"Corrigido 2026-10-16")+COUNTIFS(Itens!$P$2:$P$500,A100,Itens!$K$2:$K$500,"Corrigido 2026-10-09")</f>
        <v/>
      </c>
      <c r="G100" s="49">
        <f>COUNTIFS(Itens!$P$2:$P$500,A100,Itens!$K$2:$K$500,"Aberto / não resolvido")</f>
        <v/>
      </c>
      <c r="H100" s="49">
        <f>COUNTIFS(Itens!$P$2:$P$500,A100,Itens!$K$2:$K$500,"Correção pendente (audit)")</f>
        <v/>
      </c>
      <c r="I100" s="49">
        <f>COUNTIFS(Itens!$P$2:$P$500,A100,Itens!$K$2:$K$500,"Não auditado")</f>
        <v/>
      </c>
      <c r="J100" s="48" t="inlineStr">
        <is>
          <t>A2</t>
        </is>
      </c>
      <c r="K100" s="34" t="inlineStr">
        <is>
          <t>—</t>
        </is>
      </c>
      <c r="L100" s="50">
        <f>IFERROR(AVERAGEIF(Itens!$P$2:$P$500,A100,Itens!$L$2:$L$500),0)</f>
        <v/>
      </c>
    </row>
    <row r="101" ht="28" customHeight="1" s="21">
      <c r="A101" s="46" t="inlineStr">
        <is>
          <t>A2-P11</t>
        </is>
      </c>
      <c r="B101" s="34" t="inlineStr">
        <is>
          <t>Diálogo de fonte HP A/B</t>
        </is>
      </c>
      <c r="C101" s="46">
        <f>IF(D101&gt;=1,"Fechado",IF(G101+H101&gt;0,"Com pendência",IF(I101&gt;0,"Parcial","Em dia")))</f>
        <v/>
      </c>
      <c r="D101" s="47">
        <f>IFERROR(F101/E101,0)</f>
        <v/>
      </c>
      <c r="E101" s="49">
        <f>COUNTIF(Itens!$P$2:$P$500,A101)</f>
        <v/>
      </c>
      <c r="F101" s="49">
        <f>COUNTIFS(Itens!$P$2:$P$500,A101,Itens!$K$2:$K$500,"Consistente")+COUNTIFS(Itens!$P$2:$P$500,A101,Itens!$K$2:$K$500,"Corrigido 2026-10-14")+COUNTIFS(Itens!$P$2:$P$500,A101,Itens!$K$2:$K$500,"Corrigido 2026-10-15")+COUNTIFS(Itens!$P$2:$P$500,A101,Itens!$K$2:$K$500,"Corrigido 2026-10-16")+COUNTIFS(Itens!$P$2:$P$500,A101,Itens!$K$2:$K$500,"Corrigido 2026-10-09")</f>
        <v/>
      </c>
      <c r="G101" s="49">
        <f>COUNTIFS(Itens!$P$2:$P$500,A101,Itens!$K$2:$K$500,"Aberto / não resolvido")</f>
        <v/>
      </c>
      <c r="H101" s="49">
        <f>COUNTIFS(Itens!$P$2:$P$500,A101,Itens!$K$2:$K$500,"Correção pendente (audit)")</f>
        <v/>
      </c>
      <c r="I101" s="49">
        <f>COUNTIFS(Itens!$P$2:$P$500,A101,Itens!$K$2:$K$500,"Não auditado")</f>
        <v/>
      </c>
      <c r="J101" s="48" t="inlineStr">
        <is>
          <t>A2</t>
        </is>
      </c>
      <c r="K101" s="34" t="inlineStr">
        <is>
          <t>—</t>
        </is>
      </c>
      <c r="L101" s="50">
        <f>IFERROR(AVERAGEIF(Itens!$P$2:$P$500,A101,Itens!$L$2:$L$500),0)</f>
        <v/>
      </c>
    </row>
    <row r="102" ht="28" customHeight="1" s="21">
      <c r="A102" s="46" t="inlineStr">
        <is>
          <t>A2-ClockUI</t>
        </is>
      </c>
      <c r="B102" s="34" t="inlineStr">
        <is>
          <t>Widgets → bits do MAClockSource</t>
        </is>
      </c>
      <c r="C102" s="46">
        <f>IF(D102&gt;=1,"Fechado",IF(G102+H102&gt;0,"Com pendência",IF(I102&gt;0,"Parcial","Em dia")))</f>
        <v/>
      </c>
      <c r="D102" s="47">
        <f>IFERROR(F102/E102,0)</f>
        <v/>
      </c>
      <c r="E102" s="49">
        <f>COUNTIF(Itens!$P$2:$P$500,A102)</f>
        <v/>
      </c>
      <c r="F102" s="49">
        <f>COUNTIFS(Itens!$P$2:$P$500,A102,Itens!$K$2:$K$500,"Consistente")+COUNTIFS(Itens!$P$2:$P$500,A102,Itens!$K$2:$K$500,"Corrigido 2026-10-14")+COUNTIFS(Itens!$P$2:$P$500,A102,Itens!$K$2:$K$500,"Corrigido 2026-10-15")+COUNTIFS(Itens!$P$2:$P$500,A102,Itens!$K$2:$K$500,"Corrigido 2026-10-16")+COUNTIFS(Itens!$P$2:$P$500,A102,Itens!$K$2:$K$500,"Corrigido 2026-10-09")</f>
        <v/>
      </c>
      <c r="G102" s="49">
        <f>COUNTIFS(Itens!$P$2:$P$500,A102,Itens!$K$2:$K$500,"Aberto / não resolvido")</f>
        <v/>
      </c>
      <c r="H102" s="49">
        <f>COUNTIFS(Itens!$P$2:$P$500,A102,Itens!$K$2:$K$500,"Correção pendente (audit)")</f>
        <v/>
      </c>
      <c r="I102" s="49">
        <f>COUNTIFS(Itens!$P$2:$P$500,A102,Itens!$K$2:$K$500,"Não auditado")</f>
        <v/>
      </c>
      <c r="J102" s="48" t="inlineStr">
        <is>
          <t>A2</t>
        </is>
      </c>
      <c r="K102" s="34" t="inlineStr">
        <is>
          <t>—</t>
        </is>
      </c>
      <c r="L102" s="50">
        <f>IFERROR(AVERAGEIF(Itens!$P$2:$P$500,A102,Itens!$L$2:$L$500),0)</f>
        <v/>
      </c>
    </row>
    <row r="103" ht="28" customHeight="1" s="21">
      <c r="A103" s="46" t="inlineStr">
        <is>
          <t>A2-XCHK</t>
        </is>
      </c>
      <c r="B103" s="34" t="inlineStr">
        <is>
          <t>Cruzamento com o manual</t>
        </is>
      </c>
      <c r="C103" s="46">
        <f>IF(D103&gt;=1,"Fechado",IF(G103+H103&gt;0,"Com pendência",IF(I103&gt;0,"Parcial","Em dia")))</f>
        <v/>
      </c>
      <c r="D103" s="47">
        <f>IFERROR(F103/E103,0)</f>
        <v/>
      </c>
      <c r="E103" s="49">
        <f>COUNTIF(Itens!$P$2:$P$500,A103)</f>
        <v/>
      </c>
      <c r="F103" s="49">
        <f>COUNTIFS(Itens!$P$2:$P$500,A103,Itens!$K$2:$K$500,"Consistente")+COUNTIFS(Itens!$P$2:$P$500,A103,Itens!$K$2:$K$500,"Corrigido 2026-10-14")+COUNTIFS(Itens!$P$2:$P$500,A103,Itens!$K$2:$K$500,"Corrigido 2026-10-15")+COUNTIFS(Itens!$P$2:$P$500,A103,Itens!$K$2:$K$500,"Corrigido 2026-10-16")+COUNTIFS(Itens!$P$2:$P$500,A103,Itens!$K$2:$K$500,"Corrigido 2026-10-09")</f>
        <v/>
      </c>
      <c r="G103" s="49">
        <f>COUNTIFS(Itens!$P$2:$P$500,A103,Itens!$K$2:$K$500,"Aberto / não resolvido")</f>
        <v/>
      </c>
      <c r="H103" s="49">
        <f>COUNTIFS(Itens!$P$2:$P$500,A103,Itens!$K$2:$K$500,"Correção pendente (audit)")</f>
        <v/>
      </c>
      <c r="I103" s="49">
        <f>COUNTIFS(Itens!$P$2:$P$500,A103,Itens!$K$2:$K$500,"Não auditado")</f>
        <v/>
      </c>
      <c r="J103" s="48" t="inlineStr">
        <is>
          <t>A2</t>
        </is>
      </c>
      <c r="K103" s="34" t="inlineStr">
        <is>
          <t>—</t>
        </is>
      </c>
      <c r="L103" s="50">
        <f>IFERROR(AVERAGEIF(Itens!$P$2:$P$500,A103,Itens!$L$2:$L$500),0)</f>
        <v/>
      </c>
    </row>
    <row r="104" ht="28" customHeight="1" s="21">
      <c r="A104" s="46" t="inlineStr">
        <is>
          <t>A3-M1</t>
        </is>
      </c>
      <c r="B104" s="34" t="inlineStr">
        <is>
          <t>Fábrica CoreMIDI</t>
        </is>
      </c>
      <c r="C104" s="46">
        <f>IF(D104&gt;=1,"Fechado",IF(G104+H104&gt;0,"Com pendência",IF(I104&gt;0,"Parcial","Em dia")))</f>
        <v/>
      </c>
      <c r="D104" s="47">
        <f>IFERROR(F104/E104,0)</f>
        <v/>
      </c>
      <c r="E104" s="49">
        <f>COUNTIF(Itens!$P$2:$P$500,A104)</f>
        <v/>
      </c>
      <c r="F104" s="49">
        <f>COUNTIFS(Itens!$P$2:$P$500,A104,Itens!$K$2:$K$500,"Consistente")+COUNTIFS(Itens!$P$2:$P$500,A104,Itens!$K$2:$K$500,"Corrigido 2026-10-14")+COUNTIFS(Itens!$P$2:$P$500,A104,Itens!$K$2:$K$500,"Corrigido 2026-10-15")+COUNTIFS(Itens!$P$2:$P$500,A104,Itens!$K$2:$K$500,"Corrigido 2026-10-16")+COUNTIFS(Itens!$P$2:$P$500,A104,Itens!$K$2:$K$500,"Corrigido 2026-10-09")</f>
        <v/>
      </c>
      <c r="G104" s="49">
        <f>COUNTIFS(Itens!$P$2:$P$500,A104,Itens!$K$2:$K$500,"Aberto / não resolvido")</f>
        <v/>
      </c>
      <c r="H104" s="49">
        <f>COUNTIFS(Itens!$P$2:$P$500,A104,Itens!$K$2:$K$500,"Correção pendente (audit)")</f>
        <v/>
      </c>
      <c r="I104" s="49">
        <f>COUNTIFS(Itens!$P$2:$P$500,A104,Itens!$K$2:$K$500,"Não auditado")</f>
        <v/>
      </c>
      <c r="J104" s="48" t="inlineStr">
        <is>
          <t>A3</t>
        </is>
      </c>
      <c r="K104" s="34" t="inlineStr">
        <is>
          <t>—</t>
        </is>
      </c>
      <c r="L104" s="50">
        <f>IFERROR(AVERAGEIF(Itens!$P$2:$P$500,A104,Itens!$L$2:$L$500),0)</f>
        <v/>
      </c>
    </row>
    <row r="105" ht="28" customHeight="1" s="21">
      <c r="A105" s="46" t="inlineStr">
        <is>
          <t>A3-M2</t>
        </is>
      </c>
      <c r="B105" s="34" t="inlineStr">
        <is>
          <t>Descoberta MIDI</t>
        </is>
      </c>
      <c r="C105" s="46">
        <f>IF(D105&gt;=1,"Fechado",IF(G105+H105&gt;0,"Com pendência",IF(I105&gt;0,"Parcial","Em dia")))</f>
        <v/>
      </c>
      <c r="D105" s="47">
        <f>IFERROR(F105/E105,0)</f>
        <v/>
      </c>
      <c r="E105" s="49">
        <f>COUNTIF(Itens!$P$2:$P$500,A105)</f>
        <v/>
      </c>
      <c r="F105" s="49">
        <f>COUNTIFS(Itens!$P$2:$P$500,A105,Itens!$K$2:$K$500,"Consistente")+COUNTIFS(Itens!$P$2:$P$500,A105,Itens!$K$2:$K$500,"Corrigido 2026-10-14")+COUNTIFS(Itens!$P$2:$P$500,A105,Itens!$K$2:$K$500,"Corrigido 2026-10-15")+COUNTIFS(Itens!$P$2:$P$500,A105,Itens!$K$2:$K$500,"Corrigido 2026-10-16")+COUNTIFS(Itens!$P$2:$P$500,A105,Itens!$K$2:$K$500,"Corrigido 2026-10-09")</f>
        <v/>
      </c>
      <c r="G105" s="49">
        <f>COUNTIFS(Itens!$P$2:$P$500,A105,Itens!$K$2:$K$500,"Aberto / não resolvido")</f>
        <v/>
      </c>
      <c r="H105" s="49">
        <f>COUNTIFS(Itens!$P$2:$P$500,A105,Itens!$K$2:$K$500,"Correção pendente (audit)")</f>
        <v/>
      </c>
      <c r="I105" s="49">
        <f>COUNTIFS(Itens!$P$2:$P$500,A105,Itens!$K$2:$K$500,"Não auditado")</f>
        <v/>
      </c>
      <c r="J105" s="48" t="inlineStr">
        <is>
          <t>A3</t>
        </is>
      </c>
      <c r="K105" s="34" t="inlineStr">
        <is>
          <t>—</t>
        </is>
      </c>
      <c r="L105" s="50">
        <f>IFERROR(AVERAGEIF(Itens!$P$2:$P$500,A105,Itens!$L$2:$L$500),0)</f>
        <v/>
      </c>
    </row>
    <row r="106" ht="28" customHeight="1" s="21">
      <c r="A106" s="46" t="inlineStr">
        <is>
          <t>A3-M4</t>
        </is>
      </c>
      <c r="B106" s="34" t="inlineStr">
        <is>
          <t>Layout dos anéis MIDI</t>
        </is>
      </c>
      <c r="C106" s="46">
        <f>IF(D106&gt;=1,"Fechado",IF(G106+H106&gt;0,"Com pendência",IF(I106&gt;0,"Parcial","Em dia")))</f>
        <v/>
      </c>
      <c r="D106" s="47">
        <f>IFERROR(F106/E106,0)</f>
        <v/>
      </c>
      <c r="E106" s="49">
        <f>COUNTIF(Itens!$P$2:$P$500,A106)</f>
        <v/>
      </c>
      <c r="F106" s="49">
        <f>COUNTIFS(Itens!$P$2:$P$500,A106,Itens!$K$2:$K$500,"Consistente")+COUNTIFS(Itens!$P$2:$P$500,A106,Itens!$K$2:$K$500,"Corrigido 2026-10-14")+COUNTIFS(Itens!$P$2:$P$500,A106,Itens!$K$2:$K$500,"Corrigido 2026-10-15")+COUNTIFS(Itens!$P$2:$P$500,A106,Itens!$K$2:$K$500,"Corrigido 2026-10-16")+COUNTIFS(Itens!$P$2:$P$500,A106,Itens!$K$2:$K$500,"Corrigido 2026-10-09")</f>
        <v/>
      </c>
      <c r="G106" s="49">
        <f>COUNTIFS(Itens!$P$2:$P$500,A106,Itens!$K$2:$K$500,"Aberto / não resolvido")</f>
        <v/>
      </c>
      <c r="H106" s="49">
        <f>COUNTIFS(Itens!$P$2:$P$500,A106,Itens!$K$2:$K$500,"Correção pendente (audit)")</f>
        <v/>
      </c>
      <c r="I106" s="49">
        <f>COUNTIFS(Itens!$P$2:$P$500,A106,Itens!$K$2:$K$500,"Não auditado")</f>
        <v/>
      </c>
      <c r="J106" s="48" t="inlineStr">
        <is>
          <t>A3</t>
        </is>
      </c>
      <c r="K106" s="34" t="inlineStr">
        <is>
          <t>—</t>
        </is>
      </c>
      <c r="L106" s="50">
        <f>IFERROR(AVERAGEIF(Itens!$P$2:$P$500,A106,Itens!$L$2:$L$500),0)</f>
        <v/>
      </c>
    </row>
    <row r="107" ht="28" customHeight="1" s="21">
      <c r="A107" s="46" t="inlineStr">
        <is>
          <t>A3-M5</t>
        </is>
      </c>
      <c r="B107" s="34" t="inlineStr">
        <is>
          <t>TX MIDI</t>
        </is>
      </c>
      <c r="C107" s="46">
        <f>IF(D107&gt;=1,"Fechado",IF(G107+H107&gt;0,"Com pendência",IF(I107&gt;0,"Parcial","Em dia")))</f>
        <v/>
      </c>
      <c r="D107" s="47">
        <f>IFERROR(F107/E107,0)</f>
        <v/>
      </c>
      <c r="E107" s="49">
        <f>COUNTIF(Itens!$P$2:$P$500,A107)</f>
        <v/>
      </c>
      <c r="F107" s="49">
        <f>COUNTIFS(Itens!$P$2:$P$500,A107,Itens!$K$2:$K$500,"Consistente")+COUNTIFS(Itens!$P$2:$P$500,A107,Itens!$K$2:$K$500,"Corrigido 2026-10-14")+COUNTIFS(Itens!$P$2:$P$500,A107,Itens!$K$2:$K$500,"Corrigido 2026-10-15")+COUNTIFS(Itens!$P$2:$P$500,A107,Itens!$K$2:$K$500,"Corrigido 2026-10-16")+COUNTIFS(Itens!$P$2:$P$500,A107,Itens!$K$2:$K$500,"Corrigido 2026-10-09")</f>
        <v/>
      </c>
      <c r="G107" s="49">
        <f>COUNTIFS(Itens!$P$2:$P$500,A107,Itens!$K$2:$K$500,"Aberto / não resolvido")</f>
        <v/>
      </c>
      <c r="H107" s="49">
        <f>COUNTIFS(Itens!$P$2:$P$500,A107,Itens!$K$2:$K$500,"Correção pendente (audit)")</f>
        <v/>
      </c>
      <c r="I107" s="49">
        <f>COUNTIFS(Itens!$P$2:$P$500,A107,Itens!$K$2:$K$500,"Não auditado")</f>
        <v/>
      </c>
      <c r="J107" s="48" t="inlineStr">
        <is>
          <t>A3</t>
        </is>
      </c>
      <c r="K107" s="34" t="inlineStr">
        <is>
          <t>—</t>
        </is>
      </c>
      <c r="L107" s="50">
        <f>IFERROR(AVERAGEIF(Itens!$P$2:$P$500,A107,Itens!$L$2:$L$500),0)</f>
        <v/>
      </c>
    </row>
    <row r="108" ht="28" customHeight="1" s="21">
      <c r="A108" s="46" t="inlineStr">
        <is>
          <t>A3-M6</t>
        </is>
      </c>
      <c r="B108" s="34" t="inlineStr">
        <is>
          <t>RX MIDI</t>
        </is>
      </c>
      <c r="C108" s="46">
        <f>IF(D108&gt;=1,"Fechado",IF(G108+H108&gt;0,"Com pendência",IF(I108&gt;0,"Parcial","Em dia")))</f>
        <v/>
      </c>
      <c r="D108" s="47">
        <f>IFERROR(F108/E108,0)</f>
        <v/>
      </c>
      <c r="E108" s="49">
        <f>COUNTIF(Itens!$P$2:$P$500,A108)</f>
        <v/>
      </c>
      <c r="F108" s="49">
        <f>COUNTIFS(Itens!$P$2:$P$500,A108,Itens!$K$2:$K$500,"Consistente")+COUNTIFS(Itens!$P$2:$P$500,A108,Itens!$K$2:$K$500,"Corrigido 2026-10-14")+COUNTIFS(Itens!$P$2:$P$500,A108,Itens!$K$2:$K$500,"Corrigido 2026-10-15")+COUNTIFS(Itens!$P$2:$P$500,A108,Itens!$K$2:$K$500,"Corrigido 2026-10-16")+COUNTIFS(Itens!$P$2:$P$500,A108,Itens!$K$2:$K$500,"Corrigido 2026-10-09")</f>
        <v/>
      </c>
      <c r="G108" s="49">
        <f>COUNTIFS(Itens!$P$2:$P$500,A108,Itens!$K$2:$K$500,"Aberto / não resolvido")</f>
        <v/>
      </c>
      <c r="H108" s="49">
        <f>COUNTIFS(Itens!$P$2:$P$500,A108,Itens!$K$2:$K$500,"Correção pendente (audit)")</f>
        <v/>
      </c>
      <c r="I108" s="49">
        <f>COUNTIFS(Itens!$P$2:$P$500,A108,Itens!$K$2:$K$500,"Não auditado")</f>
        <v/>
      </c>
      <c r="J108" s="48" t="inlineStr">
        <is>
          <t>A3</t>
        </is>
      </c>
      <c r="K108" s="34" t="inlineStr">
        <is>
          <t>—</t>
        </is>
      </c>
      <c r="L108" s="50">
        <f>IFERROR(AVERAGEIF(Itens!$P$2:$P$500,A108,Itens!$L$2:$L$500),0)</f>
        <v/>
      </c>
    </row>
    <row r="109" ht="28" customHeight="1" s="21">
      <c r="A109" s="46" t="inlineStr">
        <is>
          <t>A3-M7</t>
        </is>
      </c>
      <c r="B109" s="34" t="inlineStr">
        <is>
          <t>Modelo de endpoints</t>
        </is>
      </c>
      <c r="C109" s="46">
        <f>IF(D109&gt;=1,"Fechado",IF(G109+H109&gt;0,"Com pendência",IF(I109&gt;0,"Parcial","Em dia")))</f>
        <v/>
      </c>
      <c r="D109" s="47">
        <f>IFERROR(F109/E109,0)</f>
        <v/>
      </c>
      <c r="E109" s="49">
        <f>COUNTIF(Itens!$P$2:$P$500,A109)</f>
        <v/>
      </c>
      <c r="F109" s="49">
        <f>COUNTIFS(Itens!$P$2:$P$500,A109,Itens!$K$2:$K$500,"Consistente")+COUNTIFS(Itens!$P$2:$P$500,A109,Itens!$K$2:$K$500,"Corrigido 2026-10-14")+COUNTIFS(Itens!$P$2:$P$500,A109,Itens!$K$2:$K$500,"Corrigido 2026-10-15")+COUNTIFS(Itens!$P$2:$P$500,A109,Itens!$K$2:$K$500,"Corrigido 2026-10-16")+COUNTIFS(Itens!$P$2:$P$500,A109,Itens!$K$2:$K$500,"Corrigido 2026-10-09")</f>
        <v/>
      </c>
      <c r="G109" s="49">
        <f>COUNTIFS(Itens!$P$2:$P$500,A109,Itens!$K$2:$K$500,"Aberto / não resolvido")</f>
        <v/>
      </c>
      <c r="H109" s="49">
        <f>COUNTIFS(Itens!$P$2:$P$500,A109,Itens!$K$2:$K$500,"Correção pendente (audit)")</f>
        <v/>
      </c>
      <c r="I109" s="49">
        <f>COUNTIFS(Itens!$P$2:$P$500,A109,Itens!$K$2:$K$500,"Não auditado")</f>
        <v/>
      </c>
      <c r="J109" s="48" t="inlineStr">
        <is>
          <t>A3</t>
        </is>
      </c>
      <c r="K109" s="34" t="inlineStr">
        <is>
          <t>—</t>
        </is>
      </c>
      <c r="L109" s="50">
        <f>IFERROR(AVERAGEIF(Itens!$P$2:$P$500,A109,Itens!$L$2:$L$500),0)</f>
        <v/>
      </c>
    </row>
    <row r="110" ht="28" customHeight="1" s="21">
      <c r="A110" s="46" t="inlineStr">
        <is>
          <t>A3-M8</t>
        </is>
      </c>
      <c r="B110" s="34" t="inlineStr">
        <is>
          <t>SysEx</t>
        </is>
      </c>
      <c r="C110" s="46">
        <f>IF(D110&gt;=1,"Fechado",IF(G110+H110&gt;0,"Com pendência",IF(I110&gt;0,"Parcial","Em dia")))</f>
        <v/>
      </c>
      <c r="D110" s="47">
        <f>IFERROR(F110/E110,0)</f>
        <v/>
      </c>
      <c r="E110" s="49">
        <f>COUNTIF(Itens!$P$2:$P$500,A110)</f>
        <v/>
      </c>
      <c r="F110" s="49">
        <f>COUNTIFS(Itens!$P$2:$P$500,A110,Itens!$K$2:$K$500,"Consistente")+COUNTIFS(Itens!$P$2:$P$500,A110,Itens!$K$2:$K$500,"Corrigido 2026-10-14")+COUNTIFS(Itens!$P$2:$P$500,A110,Itens!$K$2:$K$500,"Corrigido 2026-10-15")+COUNTIFS(Itens!$P$2:$P$500,A110,Itens!$K$2:$K$500,"Corrigido 2026-10-16")+COUNTIFS(Itens!$P$2:$P$500,A110,Itens!$K$2:$K$500,"Corrigido 2026-10-09")</f>
        <v/>
      </c>
      <c r="G110" s="49">
        <f>COUNTIFS(Itens!$P$2:$P$500,A110,Itens!$K$2:$K$500,"Aberto / não resolvido")</f>
        <v/>
      </c>
      <c r="H110" s="49">
        <f>COUNTIFS(Itens!$P$2:$P$500,A110,Itens!$K$2:$K$500,"Correção pendente (audit)")</f>
        <v/>
      </c>
      <c r="I110" s="49">
        <f>COUNTIFS(Itens!$P$2:$P$500,A110,Itens!$K$2:$K$500,"Não auditado")</f>
        <v/>
      </c>
      <c r="J110" s="48" t="inlineStr">
        <is>
          <t>A3</t>
        </is>
      </c>
      <c r="K110" s="34" t="inlineStr">
        <is>
          <t>—</t>
        </is>
      </c>
      <c r="L110" s="50">
        <f>IFERROR(AVERAGEIF(Itens!$P$2:$P$500,A110,Itens!$L$2:$L$500),0)</f>
        <v/>
      </c>
    </row>
    <row r="111" ht="28" customHeight="1" s="21">
      <c r="A111" s="46" t="inlineStr">
        <is>
          <t>A3-M9</t>
        </is>
      </c>
      <c r="B111" s="34" t="inlineStr">
        <is>
          <t>Sono / despertar</t>
        </is>
      </c>
      <c r="C111" s="46">
        <f>IF(D111&gt;=1,"Fechado",IF(G111+H111&gt;0,"Com pendência",IF(I111&gt;0,"Parcial","Em dia")))</f>
        <v/>
      </c>
      <c r="D111" s="47">
        <f>IFERROR(F111/E111,0)</f>
        <v/>
      </c>
      <c r="E111" s="49">
        <f>COUNTIF(Itens!$P$2:$P$500,A111)</f>
        <v/>
      </c>
      <c r="F111" s="49">
        <f>COUNTIFS(Itens!$P$2:$P$500,A111,Itens!$K$2:$K$500,"Consistente")+COUNTIFS(Itens!$P$2:$P$500,A111,Itens!$K$2:$K$500,"Corrigido 2026-10-14")+COUNTIFS(Itens!$P$2:$P$500,A111,Itens!$K$2:$K$500,"Corrigido 2026-10-15")+COUNTIFS(Itens!$P$2:$P$500,A111,Itens!$K$2:$K$500,"Corrigido 2026-10-16")+COUNTIFS(Itens!$P$2:$P$500,A111,Itens!$K$2:$K$500,"Corrigido 2026-10-09")</f>
        <v/>
      </c>
      <c r="G111" s="49">
        <f>COUNTIFS(Itens!$P$2:$P$500,A111,Itens!$K$2:$K$500,"Aberto / não resolvido")</f>
        <v/>
      </c>
      <c r="H111" s="49">
        <f>COUNTIFS(Itens!$P$2:$P$500,A111,Itens!$K$2:$K$500,"Correção pendente (audit)")</f>
        <v/>
      </c>
      <c r="I111" s="49">
        <f>COUNTIFS(Itens!$P$2:$P$500,A111,Itens!$K$2:$K$500,"Não auditado")</f>
        <v/>
      </c>
      <c r="J111" s="48" t="inlineStr">
        <is>
          <t>A3</t>
        </is>
      </c>
      <c r="K111" s="34" t="inlineStr">
        <is>
          <t>—</t>
        </is>
      </c>
      <c r="L111" s="50">
        <f>IFERROR(AVERAGEIF(Itens!$P$2:$P$500,A111,Itens!$L$2:$L$500),0)</f>
        <v/>
      </c>
    </row>
    <row r="112" ht="28" customHeight="1" s="21">
      <c r="A112" s="46" t="inlineStr">
        <is>
          <t>A4-H1</t>
        </is>
      </c>
      <c r="B112" s="34" t="inlineStr">
        <is>
          <t>Entrada do helper</t>
        </is>
      </c>
      <c r="C112" s="46">
        <f>IF(D112&gt;=1,"Fechado",IF(G112+H112&gt;0,"Com pendência",IF(I112&gt;0,"Parcial","Em dia")))</f>
        <v/>
      </c>
      <c r="D112" s="47">
        <f>IFERROR(F112/E112,0)</f>
        <v/>
      </c>
      <c r="E112" s="49">
        <f>COUNTIF(Itens!$P$2:$P$500,A112)</f>
        <v/>
      </c>
      <c r="F112" s="49">
        <f>COUNTIFS(Itens!$P$2:$P$500,A112,Itens!$K$2:$K$500,"Consistente")+COUNTIFS(Itens!$P$2:$P$500,A112,Itens!$K$2:$K$500,"Corrigido 2026-10-14")+COUNTIFS(Itens!$P$2:$P$500,A112,Itens!$K$2:$K$500,"Corrigido 2026-10-15")+COUNTIFS(Itens!$P$2:$P$500,A112,Itens!$K$2:$K$500,"Corrigido 2026-10-16")+COUNTIFS(Itens!$P$2:$P$500,A112,Itens!$K$2:$K$500,"Corrigido 2026-10-09")</f>
        <v/>
      </c>
      <c r="G112" s="49">
        <f>COUNTIFS(Itens!$P$2:$P$500,A112,Itens!$K$2:$K$500,"Aberto / não resolvido")</f>
        <v/>
      </c>
      <c r="H112" s="49">
        <f>COUNTIFS(Itens!$P$2:$P$500,A112,Itens!$K$2:$K$500,"Correção pendente (audit)")</f>
        <v/>
      </c>
      <c r="I112" s="49">
        <f>COUNTIFS(Itens!$P$2:$P$500,A112,Itens!$K$2:$K$500,"Não auditado")</f>
        <v/>
      </c>
      <c r="J112" s="48" t="inlineStr">
        <is>
          <t>A4</t>
        </is>
      </c>
      <c r="K112" s="34" t="inlineStr">
        <is>
          <t>—</t>
        </is>
      </c>
      <c r="L112" s="50">
        <f>IFERROR(AVERAGEIF(Itens!$P$2:$P$500,A112,Itens!$L$2:$L$500),0)</f>
        <v/>
      </c>
    </row>
    <row r="113" ht="28" customHeight="1" s="21">
      <c r="A113" s="46" t="inlineStr">
        <is>
          <t>A4-H2</t>
        </is>
      </c>
      <c r="B113" s="34" t="inlineStr">
        <is>
          <t>Detecção de bootloader e upload</t>
        </is>
      </c>
      <c r="C113" s="46">
        <f>IF(D113&gt;=1,"Fechado",IF(G113+H113&gt;0,"Com pendência",IF(I113&gt;0,"Parcial","Em dia")))</f>
        <v/>
      </c>
      <c r="D113" s="47">
        <f>IFERROR(F113/E113,0)</f>
        <v/>
      </c>
      <c r="E113" s="49">
        <f>COUNTIF(Itens!$P$2:$P$500,A113)</f>
        <v/>
      </c>
      <c r="F113" s="49">
        <f>COUNTIFS(Itens!$P$2:$P$500,A113,Itens!$K$2:$K$500,"Consistente")+COUNTIFS(Itens!$P$2:$P$500,A113,Itens!$K$2:$K$500,"Corrigido 2026-10-14")+COUNTIFS(Itens!$P$2:$P$500,A113,Itens!$K$2:$K$500,"Corrigido 2026-10-15")+COUNTIFS(Itens!$P$2:$P$500,A113,Itens!$K$2:$K$500,"Corrigido 2026-10-16")+COUNTIFS(Itens!$P$2:$P$500,A113,Itens!$K$2:$K$500,"Corrigido 2026-10-09")</f>
        <v/>
      </c>
      <c r="G113" s="49">
        <f>COUNTIFS(Itens!$P$2:$P$500,A113,Itens!$K$2:$K$500,"Aberto / não resolvido")</f>
        <v/>
      </c>
      <c r="H113" s="49">
        <f>COUNTIFS(Itens!$P$2:$P$500,A113,Itens!$K$2:$K$500,"Correção pendente (audit)")</f>
        <v/>
      </c>
      <c r="I113" s="49">
        <f>COUNTIFS(Itens!$P$2:$P$500,A113,Itens!$K$2:$K$500,"Não auditado")</f>
        <v/>
      </c>
      <c r="J113" s="48" t="inlineStr">
        <is>
          <t>A4</t>
        </is>
      </c>
      <c r="K113" s="34" t="inlineStr">
        <is>
          <t>—</t>
        </is>
      </c>
      <c r="L113" s="50">
        <f>IFERROR(AVERAGEIF(Itens!$P$2:$P$500,A113,Itens!$L$2:$L$500),0)</f>
        <v/>
      </c>
    </row>
    <row r="114" ht="28" customHeight="1" s="21">
      <c r="A114" s="46" t="inlineStr">
        <is>
          <t>A4-H4</t>
        </is>
      </c>
      <c r="B114" s="34" t="inlineStr">
        <is>
          <t>Seleção de firmware</t>
        </is>
      </c>
      <c r="C114" s="46">
        <f>IF(D114&gt;=1,"Fechado",IF(G114+H114&gt;0,"Com pendência",IF(I114&gt;0,"Parcial","Em dia")))</f>
        <v/>
      </c>
      <c r="D114" s="47">
        <f>IFERROR(F114/E114,0)</f>
        <v/>
      </c>
      <c r="E114" s="49">
        <f>COUNTIF(Itens!$P$2:$P$500,A114)</f>
        <v/>
      </c>
      <c r="F114" s="49">
        <f>COUNTIFS(Itens!$P$2:$P$500,A114,Itens!$K$2:$K$500,"Consistente")+COUNTIFS(Itens!$P$2:$P$500,A114,Itens!$K$2:$K$500,"Corrigido 2026-10-14")+COUNTIFS(Itens!$P$2:$P$500,A114,Itens!$K$2:$K$500,"Corrigido 2026-10-15")+COUNTIFS(Itens!$P$2:$P$500,A114,Itens!$K$2:$K$500,"Corrigido 2026-10-16")+COUNTIFS(Itens!$P$2:$P$500,A114,Itens!$K$2:$K$500,"Corrigido 2026-10-09")</f>
        <v/>
      </c>
      <c r="G114" s="49">
        <f>COUNTIFS(Itens!$P$2:$P$500,A114,Itens!$K$2:$K$500,"Aberto / não resolvido")</f>
        <v/>
      </c>
      <c r="H114" s="49">
        <f>COUNTIFS(Itens!$P$2:$P$500,A114,Itens!$K$2:$K$500,"Correção pendente (audit)")</f>
        <v/>
      </c>
      <c r="I114" s="49">
        <f>COUNTIFS(Itens!$P$2:$P$500,A114,Itens!$K$2:$K$500,"Não auditado")</f>
        <v/>
      </c>
      <c r="J114" s="48" t="inlineStr">
        <is>
          <t>A4</t>
        </is>
      </c>
      <c r="K114" s="34" t="inlineStr">
        <is>
          <t>—</t>
        </is>
      </c>
      <c r="L114" s="50">
        <f>IFERROR(AVERAGEIF(Itens!$P$2:$P$500,A114,Itens!$L$2:$L$500),0)</f>
        <v/>
      </c>
    </row>
    <row r="115" ht="28" customHeight="1" s="21">
      <c r="A115" s="46" t="inlineStr">
        <is>
          <t>A4-H5</t>
        </is>
      </c>
      <c r="B115" s="34" t="inlineStr">
        <is>
          <t>IPC da janela de status</t>
        </is>
      </c>
      <c r="C115" s="46">
        <f>IF(D115&gt;=1,"Fechado",IF(G115+H115&gt;0,"Com pendência",IF(I115&gt;0,"Parcial","Em dia")))</f>
        <v/>
      </c>
      <c r="D115" s="47">
        <f>IFERROR(F115/E115,0)</f>
        <v/>
      </c>
      <c r="E115" s="49">
        <f>COUNTIF(Itens!$P$2:$P$500,A115)</f>
        <v/>
      </c>
      <c r="F115" s="49">
        <f>COUNTIFS(Itens!$P$2:$P$500,A115,Itens!$K$2:$K$500,"Consistente")+COUNTIFS(Itens!$P$2:$P$500,A115,Itens!$K$2:$K$500,"Corrigido 2026-10-14")+COUNTIFS(Itens!$P$2:$P$500,A115,Itens!$K$2:$K$500,"Corrigido 2026-10-15")+COUNTIFS(Itens!$P$2:$P$500,A115,Itens!$K$2:$K$500,"Corrigido 2026-10-16")+COUNTIFS(Itens!$P$2:$P$500,A115,Itens!$K$2:$K$500,"Corrigido 2026-10-09")</f>
        <v/>
      </c>
      <c r="G115" s="49">
        <f>COUNTIFS(Itens!$P$2:$P$500,A115,Itens!$K$2:$K$500,"Aberto / não resolvido")</f>
        <v/>
      </c>
      <c r="H115" s="49">
        <f>COUNTIFS(Itens!$P$2:$P$500,A115,Itens!$K$2:$K$500,"Correção pendente (audit)")</f>
        <v/>
      </c>
      <c r="I115" s="49">
        <f>COUNTIFS(Itens!$P$2:$P$500,A115,Itens!$K$2:$K$500,"Não auditado")</f>
        <v/>
      </c>
      <c r="J115" s="48" t="inlineStr">
        <is>
          <t>A4</t>
        </is>
      </c>
      <c r="K115" s="34" t="inlineStr">
        <is>
          <t>—</t>
        </is>
      </c>
      <c r="L115" s="50">
        <f>IFERROR(AVERAGEIF(Itens!$P$2:$P$500,A115,Itens!$L$2:$L$500),0)</f>
        <v/>
      </c>
    </row>
    <row r="116" ht="28" customHeight="1" s="21">
      <c r="A116" s="46" t="inlineStr">
        <is>
          <t>A4-H6</t>
        </is>
      </c>
      <c r="B116" s="34" t="inlineStr">
        <is>
          <t>Erros e retry</t>
        </is>
      </c>
      <c r="C116" s="46">
        <f>IF(D116&gt;=1,"Fechado",IF(G116+H116&gt;0,"Com pendência",IF(I116&gt;0,"Parcial","Em dia")))</f>
        <v/>
      </c>
      <c r="D116" s="47">
        <f>IFERROR(F116/E116,0)</f>
        <v/>
      </c>
      <c r="E116" s="49">
        <f>COUNTIF(Itens!$P$2:$P$500,A116)</f>
        <v/>
      </c>
      <c r="F116" s="49">
        <f>COUNTIFS(Itens!$P$2:$P$500,A116,Itens!$K$2:$K$500,"Consistente")+COUNTIFS(Itens!$P$2:$P$500,A116,Itens!$K$2:$K$500,"Corrigido 2026-10-14")+COUNTIFS(Itens!$P$2:$P$500,A116,Itens!$K$2:$K$500,"Corrigido 2026-10-15")+COUNTIFS(Itens!$P$2:$P$500,A116,Itens!$K$2:$K$500,"Corrigido 2026-10-16")+COUNTIFS(Itens!$P$2:$P$500,A116,Itens!$K$2:$K$500,"Corrigido 2026-10-09")</f>
        <v/>
      </c>
      <c r="G116" s="49">
        <f>COUNTIFS(Itens!$P$2:$P$500,A116,Itens!$K$2:$K$500,"Aberto / não resolvido")</f>
        <v/>
      </c>
      <c r="H116" s="49">
        <f>COUNTIFS(Itens!$P$2:$P$500,A116,Itens!$K$2:$K$500,"Correção pendente (audit)")</f>
        <v/>
      </c>
      <c r="I116" s="49">
        <f>COUNTIFS(Itens!$P$2:$P$500,A116,Itens!$K$2:$K$500,"Não auditado")</f>
        <v/>
      </c>
      <c r="J116" s="48" t="inlineStr">
        <is>
          <t>A4</t>
        </is>
      </c>
      <c r="K116" s="34" t="inlineStr">
        <is>
          <t>—</t>
        </is>
      </c>
      <c r="L116" s="50">
        <f>IFERROR(AVERAGEIF(Itens!$P$2:$P$500,A116,Itens!$L$2:$L$500),0)</f>
        <v/>
      </c>
    </row>
    <row r="117" ht="28" customHeight="1" s="21">
      <c r="A117" s="46" t="inlineStr">
        <is>
          <t>A4-H7</t>
        </is>
      </c>
      <c r="B117" s="34" t="inlineStr">
        <is>
          <t>Ciclo de vida no launchd</t>
        </is>
      </c>
      <c r="C117" s="46">
        <f>IF(D117&gt;=1,"Fechado",IF(G117+H117&gt;0,"Com pendência",IF(I117&gt;0,"Parcial","Em dia")))</f>
        <v/>
      </c>
      <c r="D117" s="47">
        <f>IFERROR(F117/E117,0)</f>
        <v/>
      </c>
      <c r="E117" s="49">
        <f>COUNTIF(Itens!$P$2:$P$500,A117)</f>
        <v/>
      </c>
      <c r="F117" s="49">
        <f>COUNTIFS(Itens!$P$2:$P$500,A117,Itens!$K$2:$K$500,"Consistente")+COUNTIFS(Itens!$P$2:$P$500,A117,Itens!$K$2:$K$500,"Corrigido 2026-10-14")+COUNTIFS(Itens!$P$2:$P$500,A117,Itens!$K$2:$K$500,"Corrigido 2026-10-15")+COUNTIFS(Itens!$P$2:$P$500,A117,Itens!$K$2:$K$500,"Corrigido 2026-10-16")+COUNTIFS(Itens!$P$2:$P$500,A117,Itens!$K$2:$K$500,"Corrigido 2026-10-09")</f>
        <v/>
      </c>
      <c r="G117" s="49">
        <f>COUNTIFS(Itens!$P$2:$P$500,A117,Itens!$K$2:$K$500,"Aberto / não resolvido")</f>
        <v/>
      </c>
      <c r="H117" s="49">
        <f>COUNTIFS(Itens!$P$2:$P$500,A117,Itens!$K$2:$K$500,"Correção pendente (audit)")</f>
        <v/>
      </c>
      <c r="I117" s="49">
        <f>COUNTIFS(Itens!$P$2:$P$500,A117,Itens!$K$2:$K$500,"Não auditado")</f>
        <v/>
      </c>
      <c r="J117" s="48" t="inlineStr">
        <is>
          <t>A4</t>
        </is>
      </c>
      <c r="K117" s="34" t="inlineStr">
        <is>
          <t>—</t>
        </is>
      </c>
      <c r="L117" s="50">
        <f>IFERROR(AVERAGEIF(Itens!$P$2:$P$500,A117,Itens!$L$2:$L$500),0)</f>
        <v/>
      </c>
    </row>
    <row r="118" ht="28" customHeight="1" s="21">
      <c r="A118" s="46" t="inlineStr">
        <is>
          <t>A4-H8</t>
        </is>
      </c>
      <c r="B118" s="34" t="inlineStr">
        <is>
          <t>Handoff e multiproduto</t>
        </is>
      </c>
      <c r="C118" s="46">
        <f>IF(D118&gt;=1,"Fechado",IF(G118+H118&gt;0,"Com pendência",IF(I118&gt;0,"Parcial","Em dia")))</f>
        <v/>
      </c>
      <c r="D118" s="47">
        <f>IFERROR(F118/E118,0)</f>
        <v/>
      </c>
      <c r="E118" s="49">
        <f>COUNTIF(Itens!$P$2:$P$500,A118)</f>
        <v/>
      </c>
      <c r="F118" s="49">
        <f>COUNTIFS(Itens!$P$2:$P$500,A118,Itens!$K$2:$K$500,"Consistente")+COUNTIFS(Itens!$P$2:$P$500,A118,Itens!$K$2:$K$500,"Corrigido 2026-10-14")+COUNTIFS(Itens!$P$2:$P$500,A118,Itens!$K$2:$K$500,"Corrigido 2026-10-15")+COUNTIFS(Itens!$P$2:$P$500,A118,Itens!$K$2:$K$500,"Corrigido 2026-10-16")+COUNTIFS(Itens!$P$2:$P$500,A118,Itens!$K$2:$K$500,"Corrigido 2026-10-09")</f>
        <v/>
      </c>
      <c r="G118" s="49">
        <f>COUNTIFS(Itens!$P$2:$P$500,A118,Itens!$K$2:$K$500,"Aberto / não resolvido")</f>
        <v/>
      </c>
      <c r="H118" s="49">
        <f>COUNTIFS(Itens!$P$2:$P$500,A118,Itens!$K$2:$K$500,"Correção pendente (audit)")</f>
        <v/>
      </c>
      <c r="I118" s="49">
        <f>COUNTIFS(Itens!$P$2:$P$500,A118,Itens!$K$2:$K$500,"Não auditado")</f>
        <v/>
      </c>
      <c r="J118" s="48" t="inlineStr">
        <is>
          <t>A4</t>
        </is>
      </c>
      <c r="K118" s="34" t="inlineStr">
        <is>
          <t>—</t>
        </is>
      </c>
      <c r="L118" s="50">
        <f>IFERROR(AVERAGEIF(Itens!$P$2:$P$500,A118,Itens!$L$2:$L$500),0)</f>
        <v/>
      </c>
    </row>
    <row r="119" ht="28" customHeight="1" s="21">
      <c r="A119" s="46" t="inlineStr">
        <is>
          <t>A4-H9</t>
        </is>
      </c>
      <c r="B119" s="34" t="inlineStr">
        <is>
          <t>Leitura do BCD pelo helper</t>
        </is>
      </c>
      <c r="C119" s="46">
        <f>IF(D119&gt;=1,"Fechado",IF(G119+H119&gt;0,"Com pendência",IF(I119&gt;0,"Parcial","Em dia")))</f>
        <v/>
      </c>
      <c r="D119" s="47">
        <f>IFERROR(F119/E119,0)</f>
        <v/>
      </c>
      <c r="E119" s="49">
        <f>COUNTIF(Itens!$P$2:$P$500,A119)</f>
        <v/>
      </c>
      <c r="F119" s="49">
        <f>COUNTIFS(Itens!$P$2:$P$500,A119,Itens!$K$2:$K$500,"Consistente")+COUNTIFS(Itens!$P$2:$P$500,A119,Itens!$K$2:$K$500,"Corrigido 2026-10-14")+COUNTIFS(Itens!$P$2:$P$500,A119,Itens!$K$2:$K$500,"Corrigido 2026-10-15")+COUNTIFS(Itens!$P$2:$P$500,A119,Itens!$K$2:$K$500,"Corrigido 2026-10-16")+COUNTIFS(Itens!$P$2:$P$500,A119,Itens!$K$2:$K$500,"Corrigido 2026-10-09")</f>
        <v/>
      </c>
      <c r="G119" s="49">
        <f>COUNTIFS(Itens!$P$2:$P$500,A119,Itens!$K$2:$K$500,"Aberto / não resolvido")</f>
        <v/>
      </c>
      <c r="H119" s="49">
        <f>COUNTIFS(Itens!$P$2:$P$500,A119,Itens!$K$2:$K$500,"Correção pendente (audit)")</f>
        <v/>
      </c>
      <c r="I119" s="49">
        <f>COUNTIFS(Itens!$P$2:$P$500,A119,Itens!$K$2:$K$500,"Não auditado")</f>
        <v/>
      </c>
      <c r="J119" s="48" t="inlineStr">
        <is>
          <t>A4</t>
        </is>
      </c>
      <c r="K119" s="34" t="inlineStr">
        <is>
          <t>—</t>
        </is>
      </c>
      <c r="L119" s="50">
        <f>IFERROR(AVERAGEIF(Itens!$P$2:$P$500,A119,Itens!$L$2:$L$500),0)</f>
        <v/>
      </c>
    </row>
    <row r="120" ht="28" customHeight="1" s="21">
      <c r="A120" s="46" t="inlineStr">
        <is>
          <t>A5</t>
        </is>
      </c>
      <c r="B120" s="34" t="inlineStr">
        <is>
          <t>Formato do fw1814.bcd</t>
        </is>
      </c>
      <c r="C120" s="46">
        <f>IF(D120&gt;=1,"Fechado",IF(G120+H120&gt;0,"Com pendência",IF(I120&gt;0,"Parcial","Em dia")))</f>
        <v/>
      </c>
      <c r="D120" s="47">
        <f>IFERROR(F120/E120,0)</f>
        <v/>
      </c>
      <c r="E120" s="49">
        <f>COUNTIF(Itens!$P$2:$P$500,A120)</f>
        <v/>
      </c>
      <c r="F120" s="49">
        <f>COUNTIFS(Itens!$P$2:$P$500,A120,Itens!$K$2:$K$500,"Consistente")+COUNTIFS(Itens!$P$2:$P$500,A120,Itens!$K$2:$K$500,"Corrigido 2026-10-14")+COUNTIFS(Itens!$P$2:$P$500,A120,Itens!$K$2:$K$500,"Corrigido 2026-10-15")+COUNTIFS(Itens!$P$2:$P$500,A120,Itens!$K$2:$K$500,"Corrigido 2026-10-16")+COUNTIFS(Itens!$P$2:$P$500,A120,Itens!$K$2:$K$500,"Corrigido 2026-10-09")</f>
        <v/>
      </c>
      <c r="G120" s="49">
        <f>COUNTIFS(Itens!$P$2:$P$500,A120,Itens!$K$2:$K$500,"Aberto / não resolvido")</f>
        <v/>
      </c>
      <c r="H120" s="49">
        <f>COUNTIFS(Itens!$P$2:$P$500,A120,Itens!$K$2:$K$500,"Correção pendente (audit)")</f>
        <v/>
      </c>
      <c r="I120" s="49">
        <f>COUNTIFS(Itens!$P$2:$P$500,A120,Itens!$K$2:$K$500,"Não auditado")</f>
        <v/>
      </c>
      <c r="J120" s="48" t="inlineStr">
        <is>
          <t>A5</t>
        </is>
      </c>
      <c r="K120" s="34" t="inlineStr">
        <is>
          <t>—</t>
        </is>
      </c>
      <c r="L120" s="50">
        <f>IFERROR(AVERAGEIF(Itens!$P$2:$P$500,A120,Itens!$L$2:$L$500),0)</f>
        <v/>
      </c>
    </row>
    <row r="121" ht="28" customHeight="1" s="21">
      <c r="A121" s="46" t="inlineStr">
        <is>
          <t>A6</t>
        </is>
      </c>
      <c r="B121" s="34" t="inlineStr">
        <is>
          <t>Prefpane</t>
        </is>
      </c>
      <c r="C121" s="46">
        <f>IF(D121&gt;=1,"Fechado",IF(G121+H121&gt;0,"Com pendência",IF(I121&gt;0,"Parcial","Em dia")))</f>
        <v/>
      </c>
      <c r="D121" s="47">
        <f>IFERROR(F121/E121,0)</f>
        <v/>
      </c>
      <c r="E121" s="49">
        <f>COUNTIF(Itens!$P$2:$P$500,A121)</f>
        <v/>
      </c>
      <c r="F121" s="49">
        <f>COUNTIFS(Itens!$P$2:$P$500,A121,Itens!$K$2:$K$500,"Consistente")+COUNTIFS(Itens!$P$2:$P$500,A121,Itens!$K$2:$K$500,"Corrigido 2026-10-14")+COUNTIFS(Itens!$P$2:$P$500,A121,Itens!$K$2:$K$500,"Corrigido 2026-10-15")+COUNTIFS(Itens!$P$2:$P$500,A121,Itens!$K$2:$K$500,"Corrigido 2026-10-16")+COUNTIFS(Itens!$P$2:$P$500,A121,Itens!$K$2:$K$500,"Corrigido 2026-10-09")</f>
        <v/>
      </c>
      <c r="G121" s="49">
        <f>COUNTIFS(Itens!$P$2:$P$500,A121,Itens!$K$2:$K$500,"Aberto / não resolvido")</f>
        <v/>
      </c>
      <c r="H121" s="49">
        <f>COUNTIFS(Itens!$P$2:$P$500,A121,Itens!$K$2:$K$500,"Correção pendente (audit)")</f>
        <v/>
      </c>
      <c r="I121" s="49">
        <f>COUNTIFS(Itens!$P$2:$P$500,A121,Itens!$K$2:$K$500,"Não auditado")</f>
        <v/>
      </c>
      <c r="J121" s="48" t="inlineStr">
        <is>
          <t>A6</t>
        </is>
      </c>
      <c r="K121" s="34" t="inlineStr">
        <is>
          <t>—</t>
        </is>
      </c>
      <c r="L121" s="50">
        <f>IFERROR(AVERAGEIF(Itens!$P$2:$P$500,A121,Itens!$L$2:$L$500),0)</f>
        <v/>
      </c>
    </row>
    <row r="122" ht="28" customHeight="1" s="21">
      <c r="A122" s="46" t="inlineStr">
        <is>
          <t>B1</t>
        </is>
      </c>
      <c r="B122" s="34" t="inlineStr">
        <is>
          <t>FFADO: mapa de registros</t>
        </is>
      </c>
      <c r="C122" s="46">
        <f>IF(D122&gt;=1,"Fechado",IF(G122+H122&gt;0,"Com pendência",IF(I122&gt;0,"Parcial","Em dia")))</f>
        <v/>
      </c>
      <c r="D122" s="47">
        <f>IFERROR(F122/E122,0)</f>
        <v/>
      </c>
      <c r="E122" s="49">
        <f>COUNTIF(Itens!$P$2:$P$500,A122)</f>
        <v/>
      </c>
      <c r="F122" s="49">
        <f>COUNTIFS(Itens!$P$2:$P$500,A122,Itens!$K$2:$K$500,"Consistente")+COUNTIFS(Itens!$P$2:$P$500,A122,Itens!$K$2:$K$500,"Corrigido 2026-10-14")+COUNTIFS(Itens!$P$2:$P$500,A122,Itens!$K$2:$K$500,"Corrigido 2026-10-15")+COUNTIFS(Itens!$P$2:$P$500,A122,Itens!$K$2:$K$500,"Corrigido 2026-10-16")+COUNTIFS(Itens!$P$2:$P$500,A122,Itens!$K$2:$K$500,"Corrigido 2026-10-09")</f>
        <v/>
      </c>
      <c r="G122" s="49">
        <f>COUNTIFS(Itens!$P$2:$P$500,A122,Itens!$K$2:$K$500,"Aberto / não resolvido")</f>
        <v/>
      </c>
      <c r="H122" s="49">
        <f>COUNTIFS(Itens!$P$2:$P$500,A122,Itens!$K$2:$K$500,"Correção pendente (audit)")</f>
        <v/>
      </c>
      <c r="I122" s="49">
        <f>COUNTIFS(Itens!$P$2:$P$500,A122,Itens!$K$2:$K$500,"Não auditado")</f>
        <v/>
      </c>
      <c r="J122" s="48" t="inlineStr">
        <is>
          <t>B1</t>
        </is>
      </c>
      <c r="K122" s="34" t="inlineStr">
        <is>
          <t>—</t>
        </is>
      </c>
      <c r="L122" s="50">
        <f>IFERROR(AVERAGEIF(Itens!$P$2:$P$500,A122,Itens!$L$2:$L$500),0)</f>
        <v/>
      </c>
    </row>
    <row r="123" ht="28" customHeight="1" s="21">
      <c r="A123" s="46" t="inlineStr">
        <is>
          <t>B2</t>
        </is>
      </c>
      <c r="B123" s="34" t="inlineStr">
        <is>
          <t>snd-bebob: silêncio AM824</t>
        </is>
      </c>
      <c r="C123" s="46">
        <f>IF(D123&gt;=1,"Fechado",IF(G123+H123&gt;0,"Com pendência",IF(I123&gt;0,"Parcial","Em dia")))</f>
        <v/>
      </c>
      <c r="D123" s="47">
        <f>IFERROR(F123/E123,0)</f>
        <v/>
      </c>
      <c r="E123" s="49">
        <f>COUNTIF(Itens!$P$2:$P$500,A123)</f>
        <v/>
      </c>
      <c r="F123" s="49">
        <f>COUNTIFS(Itens!$P$2:$P$500,A123,Itens!$K$2:$K$500,"Consistente")+COUNTIFS(Itens!$P$2:$P$500,A123,Itens!$K$2:$K$500,"Corrigido 2026-10-14")+COUNTIFS(Itens!$P$2:$P$500,A123,Itens!$K$2:$K$500,"Corrigido 2026-10-15")+COUNTIFS(Itens!$P$2:$P$500,A123,Itens!$K$2:$K$500,"Corrigido 2026-10-16")+COUNTIFS(Itens!$P$2:$P$500,A123,Itens!$K$2:$K$500,"Corrigido 2026-10-09")</f>
        <v/>
      </c>
      <c r="G123" s="49">
        <f>COUNTIFS(Itens!$P$2:$P$500,A123,Itens!$K$2:$K$500,"Aberto / não resolvido")</f>
        <v/>
      </c>
      <c r="H123" s="49">
        <f>COUNTIFS(Itens!$P$2:$P$500,A123,Itens!$K$2:$K$500,"Correção pendente (audit)")</f>
        <v/>
      </c>
      <c r="I123" s="49">
        <f>COUNTIFS(Itens!$P$2:$P$500,A123,Itens!$K$2:$K$500,"Não auditado")</f>
        <v/>
      </c>
      <c r="J123" s="48" t="inlineStr">
        <is>
          <t>B2</t>
        </is>
      </c>
      <c r="K123" s="34" t="inlineStr">
        <is>
          <t>B2.2: Procurar equivalentes no kext (C4:213 em aberto).</t>
        </is>
      </c>
      <c r="L123" s="50">
        <f>IFERROR(AVERAGEIF(Itens!$P$2:$P$500,A123,Itens!$L$2:$L$500),0)</f>
        <v/>
      </c>
    </row>
    <row r="124" ht="28" customHeight="1" s="21">
      <c r="A124" s="46" t="inlineStr">
        <is>
          <t>B2a</t>
        </is>
      </c>
      <c r="B124" s="34" t="inlineStr">
        <is>
          <t>Rust: cache de estado</t>
        </is>
      </c>
      <c r="C124" s="46">
        <f>IF(D124&gt;=1,"Fechado",IF(G124+H124&gt;0,"Com pendência",IF(I124&gt;0,"Parcial","Em dia")))</f>
        <v/>
      </c>
      <c r="D124" s="47">
        <f>IFERROR(F124/E124,0)</f>
        <v/>
      </c>
      <c r="E124" s="49">
        <f>COUNTIF(Itens!$P$2:$P$500,A124)</f>
        <v/>
      </c>
      <c r="F124" s="49">
        <f>COUNTIFS(Itens!$P$2:$P$500,A124,Itens!$K$2:$K$500,"Consistente")+COUNTIFS(Itens!$P$2:$P$500,A124,Itens!$K$2:$K$500,"Corrigido 2026-10-14")+COUNTIFS(Itens!$P$2:$P$500,A124,Itens!$K$2:$K$500,"Corrigido 2026-10-15")+COUNTIFS(Itens!$P$2:$P$500,A124,Itens!$K$2:$K$500,"Corrigido 2026-10-16")+COUNTIFS(Itens!$P$2:$P$500,A124,Itens!$K$2:$K$500,"Corrigido 2026-10-09")</f>
        <v/>
      </c>
      <c r="G124" s="49">
        <f>COUNTIFS(Itens!$P$2:$P$500,A124,Itens!$K$2:$K$500,"Aberto / não resolvido")</f>
        <v/>
      </c>
      <c r="H124" s="49">
        <f>COUNTIFS(Itens!$P$2:$P$500,A124,Itens!$K$2:$K$500,"Correção pendente (audit)")</f>
        <v/>
      </c>
      <c r="I124" s="49">
        <f>COUNTIFS(Itens!$P$2:$P$500,A124,Itens!$K$2:$K$500,"Não auditado")</f>
        <v/>
      </c>
      <c r="J124" s="48" t="inlineStr">
        <is>
          <t>B2a</t>
        </is>
      </c>
      <c r="K124" s="34" t="inlineStr">
        <is>
          <t>—</t>
        </is>
      </c>
      <c r="L124" s="50">
        <f>IFERROR(AVERAGEIF(Itens!$P$2:$P$500,A124,Itens!$L$2:$L$500),0)</f>
        <v/>
      </c>
    </row>
    <row r="125" ht="28" customHeight="1" s="21">
      <c r="A125" s="46" t="inlineStr">
        <is>
          <t>B3</t>
        </is>
      </c>
      <c r="B125" s="34" t="inlineStr">
        <is>
          <t>Hack do Sierra</t>
        </is>
      </c>
      <c r="C125" s="46">
        <f>IF(D125&gt;=1,"Fechado",IF(G125+H125&gt;0,"Com pendência",IF(I125&gt;0,"Parcial","Em dia")))</f>
        <v/>
      </c>
      <c r="D125" s="47">
        <f>IFERROR(F125/E125,0)</f>
        <v/>
      </c>
      <c r="E125" s="49">
        <f>COUNTIF(Itens!$P$2:$P$500,A125)</f>
        <v/>
      </c>
      <c r="F125" s="49">
        <f>COUNTIFS(Itens!$P$2:$P$500,A125,Itens!$K$2:$K$500,"Consistente")+COUNTIFS(Itens!$P$2:$P$500,A125,Itens!$K$2:$K$500,"Corrigido 2026-10-14")+COUNTIFS(Itens!$P$2:$P$500,A125,Itens!$K$2:$K$500,"Corrigido 2026-10-15")+COUNTIFS(Itens!$P$2:$P$500,A125,Itens!$K$2:$K$500,"Corrigido 2026-10-16")+COUNTIFS(Itens!$P$2:$P$500,A125,Itens!$K$2:$K$500,"Corrigido 2026-10-09")</f>
        <v/>
      </c>
      <c r="G125" s="49">
        <f>COUNTIFS(Itens!$P$2:$P$500,A125,Itens!$K$2:$K$500,"Aberto / não resolvido")</f>
        <v/>
      </c>
      <c r="H125" s="49">
        <f>COUNTIFS(Itens!$P$2:$P$500,A125,Itens!$K$2:$K$500,"Correção pendente (audit)")</f>
        <v/>
      </c>
      <c r="I125" s="49">
        <f>COUNTIFS(Itens!$P$2:$P$500,A125,Itens!$K$2:$K$500,"Não auditado")</f>
        <v/>
      </c>
      <c r="J125" s="48" t="inlineStr">
        <is>
          <t>B3</t>
        </is>
      </c>
      <c r="K125" s="34" t="inlineStr">
        <is>
          <t>—</t>
        </is>
      </c>
      <c r="L125" s="50">
        <f>IFERROR(AVERAGEIF(Itens!$P$2:$P$500,A125,Itens!$L$2:$L$500),0)</f>
        <v/>
      </c>
    </row>
    <row r="126" ht="28" customHeight="1" s="21">
      <c r="A126" s="46" t="inlineStr">
        <is>
          <t>B4</t>
        </is>
      </c>
      <c r="B126" s="34" t="inlineStr">
        <is>
          <t>macfw</t>
        </is>
      </c>
      <c r="C126" s="46">
        <f>IF(D126&gt;=1,"Fechado",IF(G126+H126&gt;0,"Com pendência",IF(I126&gt;0,"Parcial","Em dia")))</f>
        <v/>
      </c>
      <c r="D126" s="47">
        <f>IFERROR(F126/E126,0)</f>
        <v/>
      </c>
      <c r="E126" s="49">
        <f>COUNTIF(Itens!$P$2:$P$500,A126)</f>
        <v/>
      </c>
      <c r="F126" s="49">
        <f>COUNTIFS(Itens!$P$2:$P$500,A126,Itens!$K$2:$K$500,"Consistente")+COUNTIFS(Itens!$P$2:$P$500,A126,Itens!$K$2:$K$500,"Corrigido 2026-10-14")+COUNTIFS(Itens!$P$2:$P$500,A126,Itens!$K$2:$K$500,"Corrigido 2026-10-15")+COUNTIFS(Itens!$P$2:$P$500,A126,Itens!$K$2:$K$500,"Corrigido 2026-10-16")+COUNTIFS(Itens!$P$2:$P$500,A126,Itens!$K$2:$K$500,"Corrigido 2026-10-09")</f>
        <v/>
      </c>
      <c r="G126" s="49">
        <f>COUNTIFS(Itens!$P$2:$P$500,A126,Itens!$K$2:$K$500,"Aberto / não resolvido")</f>
        <v/>
      </c>
      <c r="H126" s="49">
        <f>COUNTIFS(Itens!$P$2:$P$500,A126,Itens!$K$2:$K$500,"Correção pendente (audit)")</f>
        <v/>
      </c>
      <c r="I126" s="49">
        <f>COUNTIFS(Itens!$P$2:$P$500,A126,Itens!$K$2:$K$500,"Não auditado")</f>
        <v/>
      </c>
      <c r="J126" s="48" t="inlineStr">
        <is>
          <t>B4</t>
        </is>
      </c>
      <c r="K126" s="34" t="inlineStr">
        <is>
          <t>—</t>
        </is>
      </c>
      <c r="L126" s="50">
        <f>IFERROR(AVERAGEIF(Itens!$P$2:$P$500,A126,Itens!$L$2:$L$500),0)</f>
        <v/>
      </c>
    </row>
    <row r="127" ht="28" customHeight="1" s="21">
      <c r="A127" s="46" t="inlineStr">
        <is>
          <t>B5</t>
        </is>
      </c>
      <c r="B127" s="34" t="inlineStr">
        <is>
          <t>Painel e helper abrem UCs próprios</t>
        </is>
      </c>
      <c r="C127" s="46">
        <f>IF(D127&gt;=1,"Fechado",IF(G127+H127&gt;0,"Com pendência",IF(I127&gt;0,"Parcial","Em dia")))</f>
        <v/>
      </c>
      <c r="D127" s="47">
        <f>IFERROR(F127/E127,0)</f>
        <v/>
      </c>
      <c r="E127" s="49">
        <f>COUNTIF(Itens!$P$2:$P$500,A127)</f>
        <v/>
      </c>
      <c r="F127" s="49">
        <f>COUNTIFS(Itens!$P$2:$P$500,A127,Itens!$K$2:$K$500,"Consistente")+COUNTIFS(Itens!$P$2:$P$500,A127,Itens!$K$2:$K$500,"Corrigido 2026-10-14")+COUNTIFS(Itens!$P$2:$P$500,A127,Itens!$K$2:$K$500,"Corrigido 2026-10-15")+COUNTIFS(Itens!$P$2:$P$500,A127,Itens!$K$2:$K$500,"Corrigido 2026-10-16")+COUNTIFS(Itens!$P$2:$P$500,A127,Itens!$K$2:$K$500,"Corrigido 2026-10-09")</f>
        <v/>
      </c>
      <c r="G127" s="49">
        <f>COUNTIFS(Itens!$P$2:$P$500,A127,Itens!$K$2:$K$500,"Aberto / não resolvido")</f>
        <v/>
      </c>
      <c r="H127" s="49">
        <f>COUNTIFS(Itens!$P$2:$P$500,A127,Itens!$K$2:$K$500,"Correção pendente (audit)")</f>
        <v/>
      </c>
      <c r="I127" s="49">
        <f>COUNTIFS(Itens!$P$2:$P$500,A127,Itens!$K$2:$K$500,"Não auditado")</f>
        <v/>
      </c>
      <c r="J127" s="48" t="inlineStr">
        <is>
          <t>B5</t>
        </is>
      </c>
      <c r="K127" s="34" t="inlineStr">
        <is>
          <t>B5.6: Comportamento do v1.11.2 não verificado.</t>
        </is>
      </c>
      <c r="L127" s="50">
        <f>IFERROR(AVERAGEIF(Itens!$P$2:$P$500,A127,Itens!$L$2:$L$500),0)</f>
        <v/>
      </c>
    </row>
    <row r="128" ht="28" customHeight="1" s="21">
      <c r="A128" s="46" t="inlineStr">
        <is>
          <t>STATE-KG</t>
        </is>
      </c>
      <c r="B128" s="34" t="inlineStr">
        <is>
          <t>Model_IDs</t>
        </is>
      </c>
      <c r="C128" s="46">
        <f>IF(D128&gt;=1,"Fechado",IF(G128+H128&gt;0,"Com pendência",IF(I128&gt;0,"Parcial","Em dia")))</f>
        <v/>
      </c>
      <c r="D128" s="47">
        <f>IFERROR(F128/E128,0)</f>
        <v/>
      </c>
      <c r="E128" s="49">
        <f>COUNTIF(Itens!$P$2:$P$500,A128)</f>
        <v/>
      </c>
      <c r="F128" s="49">
        <f>COUNTIFS(Itens!$P$2:$P$500,A128,Itens!$K$2:$K$500,"Consistente")+COUNTIFS(Itens!$P$2:$P$500,A128,Itens!$K$2:$K$500,"Corrigido 2026-10-14")+COUNTIFS(Itens!$P$2:$P$500,A128,Itens!$K$2:$K$500,"Corrigido 2026-10-15")+COUNTIFS(Itens!$P$2:$P$500,A128,Itens!$K$2:$K$500,"Corrigido 2026-10-16")+COUNTIFS(Itens!$P$2:$P$500,A128,Itens!$K$2:$K$500,"Corrigido 2026-10-09")</f>
        <v/>
      </c>
      <c r="G128" s="49">
        <f>COUNTIFS(Itens!$P$2:$P$500,A128,Itens!$K$2:$K$500,"Aberto / não resolvido")</f>
        <v/>
      </c>
      <c r="H128" s="49">
        <f>COUNTIFS(Itens!$P$2:$P$500,A128,Itens!$K$2:$K$500,"Correção pendente (audit)")</f>
        <v/>
      </c>
      <c r="I128" s="49">
        <f>COUNTIFS(Itens!$P$2:$P$500,A128,Itens!$K$2:$K$500,"Não auditado")</f>
        <v/>
      </c>
      <c r="J128" s="48" t="inlineStr">
        <is>
          <t>STATE</t>
        </is>
      </c>
      <c r="K128" s="34" t="inlineStr">
        <is>
          <t>—</t>
        </is>
      </c>
      <c r="L128" s="50">
        <f>IFERROR(AVERAGEIF(Itens!$P$2:$P$500,A128,Itens!$L$2:$L$500),0)</f>
        <v/>
      </c>
    </row>
    <row r="129" ht="28" customHeight="1" s="21">
      <c r="A129" s="46" t="inlineStr">
        <is>
          <t>C1</t>
        </is>
      </c>
      <c r="B129" s="34" t="inlineStr">
        <is>
          <t>Máquina de estados do ciclo de vida</t>
        </is>
      </c>
      <c r="C129" s="46">
        <f>IF(D129&gt;=1,"Fechado",IF(G129+H129&gt;0,"Com pendência",IF(I129&gt;0,"Parcial","Em dia")))</f>
        <v/>
      </c>
      <c r="D129" s="47">
        <f>IFERROR(F129/E129,0)</f>
        <v/>
      </c>
      <c r="E129" s="49">
        <f>COUNTIF(Itens!$P$2:$P$500,A129)</f>
        <v/>
      </c>
      <c r="F129" s="49">
        <f>COUNTIFS(Itens!$P$2:$P$500,A129,Itens!$K$2:$K$500,"Consistente")+COUNTIFS(Itens!$P$2:$P$500,A129,Itens!$K$2:$K$500,"Corrigido 2026-10-14")+COUNTIFS(Itens!$P$2:$P$500,A129,Itens!$K$2:$K$500,"Corrigido 2026-10-15")+COUNTIFS(Itens!$P$2:$P$500,A129,Itens!$K$2:$K$500,"Corrigido 2026-10-16")+COUNTIFS(Itens!$P$2:$P$500,A129,Itens!$K$2:$K$500,"Corrigido 2026-10-09")</f>
        <v/>
      </c>
      <c r="G129" s="49">
        <f>COUNTIFS(Itens!$P$2:$P$500,A129,Itens!$K$2:$K$500,"Aberto / não resolvido")</f>
        <v/>
      </c>
      <c r="H129" s="49">
        <f>COUNTIFS(Itens!$P$2:$P$500,A129,Itens!$K$2:$K$500,"Correção pendente (audit)")</f>
        <v/>
      </c>
      <c r="I129" s="49">
        <f>COUNTIFS(Itens!$P$2:$P$500,A129,Itens!$K$2:$K$500,"Não auditado")</f>
        <v/>
      </c>
      <c r="J129" s="48" t="inlineStr">
        <is>
          <t>C1</t>
        </is>
      </c>
      <c r="K129" s="34" t="inlineStr">
        <is>
          <t>—</t>
        </is>
      </c>
      <c r="L129" s="50">
        <f>IFERROR(AVERAGEIF(Itens!$P$2:$P$500,A129,Itens!$L$2:$L$500),0)</f>
        <v/>
      </c>
    </row>
    <row r="130" ht="41" customHeight="1" s="21">
      <c r="A130" s="46" t="inlineStr">
        <is>
          <t>C2</t>
        </is>
      </c>
      <c r="B130" s="34" t="inlineStr">
        <is>
          <t>Caminho de sync</t>
        </is>
      </c>
      <c r="C130" s="46">
        <f>IF(D130&gt;=1,"Fechado",IF(G130+H130&gt;0,"Com pendência",IF(I130&gt;0,"Parcial","Em dia")))</f>
        <v/>
      </c>
      <c r="D130" s="47">
        <f>IFERROR(F130/E130,0)</f>
        <v/>
      </c>
      <c r="E130" s="49">
        <f>COUNTIF(Itens!$P$2:$P$500,A130)</f>
        <v/>
      </c>
      <c r="F130" s="49">
        <f>COUNTIFS(Itens!$P$2:$P$500,A130,Itens!$K$2:$K$500,"Consistente")+COUNTIFS(Itens!$P$2:$P$500,A130,Itens!$K$2:$K$500,"Corrigido 2026-10-14")+COUNTIFS(Itens!$P$2:$P$500,A130,Itens!$K$2:$K$500,"Corrigido 2026-10-15")+COUNTIFS(Itens!$P$2:$P$500,A130,Itens!$K$2:$K$500,"Corrigido 2026-10-16")+COUNTIFS(Itens!$P$2:$P$500,A130,Itens!$K$2:$K$500,"Corrigido 2026-10-09")</f>
        <v/>
      </c>
      <c r="G130" s="49">
        <f>COUNTIFS(Itens!$P$2:$P$500,A130,Itens!$K$2:$K$500,"Aberto / não resolvido")</f>
        <v/>
      </c>
      <c r="H130" s="49">
        <f>COUNTIFS(Itens!$P$2:$P$500,A130,Itens!$K$2:$K$500,"Correção pendente (audit)")</f>
        <v/>
      </c>
      <c r="I130" s="49">
        <f>COUNTIFS(Itens!$P$2:$P$500,A130,Itens!$K$2:$K$500,"Não auditado")</f>
        <v/>
      </c>
      <c r="J130" s="48" t="inlineStr">
        <is>
          <t>C2</t>
        </is>
      </c>
      <c r="K130" s="34" t="inlineStr">
        <is>
          <t>C2.1: Tabela de taxas §5, CIP h1, vt[0xbe0], slots, interrupção OHCI.</t>
        </is>
      </c>
      <c r="L130" s="50">
        <f>IFERROR(AVERAGEIF(Itens!$P$2:$P$500,A130,Itens!$L$2:$L$500),0)</f>
        <v/>
      </c>
    </row>
    <row r="131" ht="41" customHeight="1" s="21">
      <c r="A131" s="46" t="inlineStr">
        <is>
          <t>C3</t>
        </is>
      </c>
      <c r="B131" s="34" t="inlineStr">
        <is>
          <t>Caminho de comunicação</t>
        </is>
      </c>
      <c r="C131" s="46">
        <f>IF(D131&gt;=1,"Fechado",IF(G131+H131&gt;0,"Com pendência",IF(I131&gt;0,"Parcial","Em dia")))</f>
        <v/>
      </c>
      <c r="D131" s="47">
        <f>IFERROR(F131/E131,0)</f>
        <v/>
      </c>
      <c r="E131" s="49">
        <f>COUNTIF(Itens!$P$2:$P$500,A131)</f>
        <v/>
      </c>
      <c r="F131" s="49">
        <f>COUNTIFS(Itens!$P$2:$P$500,A131,Itens!$K$2:$K$500,"Consistente")+COUNTIFS(Itens!$P$2:$P$500,A131,Itens!$K$2:$K$500,"Corrigido 2026-10-14")+COUNTIFS(Itens!$P$2:$P$500,A131,Itens!$K$2:$K$500,"Corrigido 2026-10-15")+COUNTIFS(Itens!$P$2:$P$500,A131,Itens!$K$2:$K$500,"Corrigido 2026-10-16")+COUNTIFS(Itens!$P$2:$P$500,A131,Itens!$K$2:$K$500,"Corrigido 2026-10-09")</f>
        <v/>
      </c>
      <c r="G131" s="49">
        <f>COUNTIFS(Itens!$P$2:$P$500,A131,Itens!$K$2:$K$500,"Aberto / não resolvido")</f>
        <v/>
      </c>
      <c r="H131" s="49">
        <f>COUNTIFS(Itens!$P$2:$P$500,A131,Itens!$K$2:$K$500,"Correção pendente (audit)")</f>
        <v/>
      </c>
      <c r="I131" s="49">
        <f>COUNTIFS(Itens!$P$2:$P$500,A131,Itens!$K$2:$K$500,"Não auditado")</f>
        <v/>
      </c>
      <c r="J131" s="48" t="inlineStr">
        <is>
          <t>C3</t>
        </is>
      </c>
      <c r="K131" s="34" t="inlineStr">
        <is>
          <t>C3.1: HSCI de 16 bytes, thread do HSCI, notificações, página de medidores, seletores.</t>
        </is>
      </c>
      <c r="L131" s="50">
        <f>IFERROR(AVERAGEIF(Itens!$P$2:$P$500,A131,Itens!$L$2:$L$500),0)</f>
        <v/>
      </c>
    </row>
    <row r="132" ht="41" customHeight="1" s="21">
      <c r="A132" s="46" t="inlineStr">
        <is>
          <t>C4</t>
        </is>
      </c>
      <c r="B132" s="34" t="inlineStr">
        <is>
          <t>Transporte e controle</t>
        </is>
      </c>
      <c r="C132" s="46">
        <f>IF(D132&gt;=1,"Fechado",IF(G132+H132&gt;0,"Com pendência",IF(I132&gt;0,"Parcial","Em dia")))</f>
        <v/>
      </c>
      <c r="D132" s="47">
        <f>IFERROR(F132/E132,0)</f>
        <v/>
      </c>
      <c r="E132" s="49">
        <f>COUNTIF(Itens!$P$2:$P$500,A132)</f>
        <v/>
      </c>
      <c r="F132" s="49">
        <f>COUNTIFS(Itens!$P$2:$P$500,A132,Itens!$K$2:$K$500,"Consistente")+COUNTIFS(Itens!$P$2:$P$500,A132,Itens!$K$2:$K$500,"Corrigido 2026-10-14")+COUNTIFS(Itens!$P$2:$P$500,A132,Itens!$K$2:$K$500,"Corrigido 2026-10-15")+COUNTIFS(Itens!$P$2:$P$500,A132,Itens!$K$2:$K$500,"Corrigido 2026-10-16")+COUNTIFS(Itens!$P$2:$P$500,A132,Itens!$K$2:$K$500,"Corrigido 2026-10-09")</f>
        <v/>
      </c>
      <c r="G132" s="49">
        <f>COUNTIFS(Itens!$P$2:$P$500,A132,Itens!$K$2:$K$500,"Aberto / não resolvido")</f>
        <v/>
      </c>
      <c r="H132" s="49">
        <f>COUNTIFS(Itens!$P$2:$P$500,A132,Itens!$K$2:$K$500,"Correção pendente (audit)")</f>
        <v/>
      </c>
      <c r="I132" s="49">
        <f>COUNTIFS(Itens!$P$2:$P$500,A132,Itens!$K$2:$K$500,"Não auditado")</f>
        <v/>
      </c>
      <c r="J132" s="48" t="inlineStr">
        <is>
          <t>C4</t>
        </is>
      </c>
      <c r="K132" s="34" t="inlineStr">
        <is>
          <t>C4.1: Barreiras b00/b10, stream-kick (inclui troca INPUT/OUTPUT nas linhas 511-513), opcodes DCL.</t>
        </is>
      </c>
      <c r="L132" s="50">
        <f>IFERROR(AVERAGEIF(Itens!$P$2:$P$500,A132,Itens!$L$2:$L$500),0)</f>
        <v/>
      </c>
    </row>
    <row r="133" ht="28" customHeight="1" s="21">
      <c r="A133" s="46" t="inlineStr">
        <is>
          <t>C5</t>
        </is>
      </c>
      <c r="B133" s="34" t="inlineStr">
        <is>
          <t>Superfície do user-client</t>
        </is>
      </c>
      <c r="C133" s="46">
        <f>IF(D133&gt;=1,"Fechado",IF(G133+H133&gt;0,"Com pendência",IF(I133&gt;0,"Parcial","Em dia")))</f>
        <v/>
      </c>
      <c r="D133" s="47">
        <f>IFERROR(F133/E133,0)</f>
        <v/>
      </c>
      <c r="E133" s="49">
        <f>COUNTIF(Itens!$P$2:$P$500,A133)</f>
        <v/>
      </c>
      <c r="F133" s="49">
        <f>COUNTIFS(Itens!$P$2:$P$500,A133,Itens!$K$2:$K$500,"Consistente")+COUNTIFS(Itens!$P$2:$P$500,A133,Itens!$K$2:$K$500,"Corrigido 2026-10-14")+COUNTIFS(Itens!$P$2:$P$500,A133,Itens!$K$2:$K$500,"Corrigido 2026-10-15")+COUNTIFS(Itens!$P$2:$P$500,A133,Itens!$K$2:$K$500,"Corrigido 2026-10-16")+COUNTIFS(Itens!$P$2:$P$500,A133,Itens!$K$2:$K$500,"Corrigido 2026-10-09")</f>
        <v/>
      </c>
      <c r="G133" s="49">
        <f>COUNTIFS(Itens!$P$2:$P$500,A133,Itens!$K$2:$K$500,"Aberto / não resolvido")</f>
        <v/>
      </c>
      <c r="H133" s="49">
        <f>COUNTIFS(Itens!$P$2:$P$500,A133,Itens!$K$2:$K$500,"Correção pendente (audit)")</f>
        <v/>
      </c>
      <c r="I133" s="49">
        <f>COUNTIFS(Itens!$P$2:$P$500,A133,Itens!$K$2:$K$500,"Não auditado")</f>
        <v/>
      </c>
      <c r="J133" s="48" t="inlineStr">
        <is>
          <t>C5</t>
        </is>
      </c>
      <c r="K133" s="34" t="inlineStr">
        <is>
          <t>—</t>
        </is>
      </c>
      <c r="L133" s="50">
        <f>IFERROR(AVERAGEIF(Itens!$P$2:$P$500,A133,Itens!$L$2:$L$500),0)</f>
        <v/>
      </c>
    </row>
    <row r="134" ht="41" customHeight="1" s="21">
      <c r="A134" s="46" t="inlineStr">
        <is>
          <t>C6</t>
        </is>
      </c>
      <c r="B134" s="34" t="inlineStr">
        <is>
          <t>Orçamento de latência</t>
        </is>
      </c>
      <c r="C134" s="46">
        <f>IF(D134&gt;=1,"Fechado",IF(G134+H134&gt;0,"Com pendência",IF(I134&gt;0,"Parcial","Em dia")))</f>
        <v/>
      </c>
      <c r="D134" s="47">
        <f>IFERROR(F134/E134,0)</f>
        <v/>
      </c>
      <c r="E134" s="49">
        <f>COUNTIF(Itens!$P$2:$P$500,A134)</f>
        <v/>
      </c>
      <c r="F134" s="49">
        <f>COUNTIFS(Itens!$P$2:$P$500,A134,Itens!$K$2:$K$500,"Consistente")+COUNTIFS(Itens!$P$2:$P$500,A134,Itens!$K$2:$K$500,"Corrigido 2026-10-14")+COUNTIFS(Itens!$P$2:$P$500,A134,Itens!$K$2:$K$500,"Corrigido 2026-10-15")+COUNTIFS(Itens!$P$2:$P$500,A134,Itens!$K$2:$K$500,"Corrigido 2026-10-16")+COUNTIFS(Itens!$P$2:$P$500,A134,Itens!$K$2:$K$500,"Corrigido 2026-10-09")</f>
        <v/>
      </c>
      <c r="G134" s="49">
        <f>COUNTIFS(Itens!$P$2:$P$500,A134,Itens!$K$2:$K$500,"Aberto / não resolvido")</f>
        <v/>
      </c>
      <c r="H134" s="49">
        <f>COUNTIFS(Itens!$P$2:$P$500,A134,Itens!$K$2:$K$500,"Correção pendente (audit)")</f>
        <v/>
      </c>
      <c r="I134" s="49">
        <f>COUNTIFS(Itens!$P$2:$P$500,A134,Itens!$K$2:$K$500,"Não auditado")</f>
        <v/>
      </c>
      <c r="J134" s="48" t="inlineStr">
        <is>
          <t>C6</t>
        </is>
      </c>
      <c r="K134" s="34" t="inlineStr">
        <is>
          <t>C6.1: Rotular estimativas; faltam taxas altas; v1.9 vs v1.11.3.</t>
        </is>
      </c>
      <c r="L134" s="50">
        <f>IFERROR(AVERAGEIF(Itens!$P$2:$P$500,A134,Itens!$L$2:$L$500),0)</f>
        <v/>
      </c>
    </row>
    <row r="135" ht="28" customHeight="1" s="21">
      <c r="A135" s="46" t="inlineStr">
        <is>
          <t>D</t>
        </is>
      </c>
      <c r="B135" s="34" t="inlineStr">
        <is>
          <t>Decisão de build</t>
        </is>
      </c>
      <c r="C135" s="46">
        <f>IF(D135&gt;=1,"Fechado",IF(G135+H135&gt;0,"Com pendência",IF(I135&gt;0,"Parcial","Em dia")))</f>
        <v/>
      </c>
      <c r="D135" s="47">
        <f>IFERROR(F135/E135,0)</f>
        <v/>
      </c>
      <c r="E135" s="49">
        <f>COUNTIF(Itens!$P$2:$P$500,A135)</f>
        <v/>
      </c>
      <c r="F135" s="49">
        <f>COUNTIFS(Itens!$P$2:$P$500,A135,Itens!$K$2:$K$500,"Consistente")+COUNTIFS(Itens!$P$2:$P$500,A135,Itens!$K$2:$K$500,"Corrigido 2026-10-14")+COUNTIFS(Itens!$P$2:$P$500,A135,Itens!$K$2:$K$500,"Corrigido 2026-10-15")+COUNTIFS(Itens!$P$2:$P$500,A135,Itens!$K$2:$K$500,"Corrigido 2026-10-16")+COUNTIFS(Itens!$P$2:$P$500,A135,Itens!$K$2:$K$500,"Corrigido 2026-10-09")</f>
        <v/>
      </c>
      <c r="G135" s="49">
        <f>COUNTIFS(Itens!$P$2:$P$500,A135,Itens!$K$2:$K$500,"Aberto / não resolvido")</f>
        <v/>
      </c>
      <c r="H135" s="49">
        <f>COUNTIFS(Itens!$P$2:$P$500,A135,Itens!$K$2:$K$500,"Correção pendente (audit)")</f>
        <v/>
      </c>
      <c r="I135" s="49">
        <f>COUNTIFS(Itens!$P$2:$P$500,A135,Itens!$K$2:$K$500,"Não auditado")</f>
        <v/>
      </c>
      <c r="J135" s="48" t="inlineStr">
        <is>
          <t>D</t>
        </is>
      </c>
      <c r="K135" s="34" t="inlineStr">
        <is>
          <t>D.1: Reavaliar D1/D3 vs D2 depois das correções.</t>
        </is>
      </c>
      <c r="L135" s="50">
        <f>IFERROR(AVERAGEIF(Itens!$P$2:$P$500,A135,Itens!$L$2:$L$500),0)</f>
        <v/>
      </c>
    </row>
    <row r="136" ht="28" customHeight="1" s="21">
      <c r="A136" s="46" t="inlineStr">
        <is>
          <t>A1-Q-OHCI</t>
        </is>
      </c>
      <c r="B136" s="34" t="inlineStr">
        <is>
          <t>Tradução do DCL clássico no kernel 10.13.6</t>
        </is>
      </c>
      <c r="C136" s="46">
        <f>IF(D136&gt;=1,"Fechado",IF(G136+H136&gt;0,"Com pendência",IF(I136&gt;0,"Parcial","Em dia")))</f>
        <v/>
      </c>
      <c r="D136" s="47">
        <f>IFERROR(F136/E136,0)</f>
        <v/>
      </c>
      <c r="E136" s="49">
        <f>COUNTIF(Itens!$P$2:$P$500,A136)</f>
        <v/>
      </c>
      <c r="F136" s="49">
        <f>COUNTIFS(Itens!$P$2:$P$500,A136,Itens!$K$2:$K$500,"Consistente")+COUNTIFS(Itens!$P$2:$P$500,A136,Itens!$K$2:$K$500,"Corrigido 2026-10-14")+COUNTIFS(Itens!$P$2:$P$500,A136,Itens!$K$2:$K$500,"Corrigido 2026-10-15")+COUNTIFS(Itens!$P$2:$P$500,A136,Itens!$K$2:$K$500,"Corrigido 2026-10-16")+COUNTIFS(Itens!$P$2:$P$500,A136,Itens!$K$2:$K$500,"Corrigido 2026-10-09")</f>
        <v/>
      </c>
      <c r="G136" s="49">
        <f>COUNTIFS(Itens!$P$2:$P$500,A136,Itens!$K$2:$K$500,"Aberto / não resolvido")</f>
        <v/>
      </c>
      <c r="H136" s="49">
        <f>COUNTIFS(Itens!$P$2:$P$500,A136,Itens!$K$2:$K$500,"Correção pendente (audit)")</f>
        <v/>
      </c>
      <c r="I136" s="49">
        <f>COUNTIFS(Itens!$P$2:$P$500,A136,Itens!$K$2:$K$500,"Não auditado")</f>
        <v/>
      </c>
      <c r="J136" s="48" t="inlineStr">
        <is>
          <t>A1</t>
        </is>
      </c>
      <c r="K136" s="34" t="inlineStr">
        <is>
          <t>—</t>
        </is>
      </c>
      <c r="L136" s="50">
        <f>IFERROR(AVERAGEIF(Itens!$P$2:$P$500,A136,Itens!$L$2:$L$500),0)</f>
        <v/>
      </c>
    </row>
    <row r="137" ht="28" customHeight="1" s="21">
      <c r="A137" s="46" t="inlineStr">
        <is>
          <t>A4-H11</t>
        </is>
      </c>
      <c r="B137" s="34" t="inlineStr">
        <is>
          <t>Persistência e replay de configurações pelo helper</t>
        </is>
      </c>
      <c r="C137" s="46">
        <f>IF(D137&gt;=1,"Fechado",IF(G137+H137&gt;0,"Com pendência",IF(I137&gt;0,"Parcial","Em dia")))</f>
        <v/>
      </c>
      <c r="D137" s="47">
        <f>IFERROR(F137/E137,0)</f>
        <v/>
      </c>
      <c r="E137" s="49">
        <f>COUNTIF(Itens!$P$2:$P$500,A137)</f>
        <v/>
      </c>
      <c r="F137" s="49">
        <f>COUNTIFS(Itens!$P$2:$P$500,A137,Itens!$K$2:$K$500,"Consistente")+COUNTIFS(Itens!$P$2:$P$500,A137,Itens!$K$2:$K$500,"Corrigido 2026-10-14")+COUNTIFS(Itens!$P$2:$P$500,A137,Itens!$K$2:$K$500,"Corrigido 2026-10-15")+COUNTIFS(Itens!$P$2:$P$500,A137,Itens!$K$2:$K$500,"Corrigido 2026-10-16")+COUNTIFS(Itens!$P$2:$P$500,A137,Itens!$K$2:$K$500,"Corrigido 2026-10-09")</f>
        <v/>
      </c>
      <c r="G137" s="49">
        <f>COUNTIFS(Itens!$P$2:$P$500,A137,Itens!$K$2:$K$500,"Aberto / não resolvido")</f>
        <v/>
      </c>
      <c r="H137" s="49">
        <f>COUNTIFS(Itens!$P$2:$P$500,A137,Itens!$K$2:$K$500,"Correção pendente (audit)")</f>
        <v/>
      </c>
      <c r="I137" s="49">
        <f>COUNTIFS(Itens!$P$2:$P$500,A137,Itens!$K$2:$K$500,"Não auditado")</f>
        <v/>
      </c>
      <c r="J137" s="48" t="inlineStr">
        <is>
          <t>A4</t>
        </is>
      </c>
      <c r="K137" s="34" t="inlineStr">
        <is>
          <t>—</t>
        </is>
      </c>
      <c r="L137" s="50">
        <f>IFERROR(AVERAGEIF(Itens!$P$2:$P$500,A137,Itens!$L$2:$L$500),0)</f>
        <v/>
      </c>
    </row>
    <row r="138" ht="28" customHeight="1" s="21">
      <c r="A138" s="46" t="inlineStr">
        <is>
          <t>A1-Q-MAMAP</t>
        </is>
      </c>
      <c r="B138" s="34" t="inlineStr">
        <is>
          <t>Mixer do FW1814: dois canais (registradores + AV/C)</t>
        </is>
      </c>
      <c r="C138" s="46">
        <f>IF(D138&gt;=1,"Fechado",IF(G138+H138&gt;0,"Com pendência",IF(I138&gt;0,"Parcial","Em dia")))</f>
        <v/>
      </c>
      <c r="D138" s="47">
        <f>IFERROR(F138/E138,0)</f>
        <v/>
      </c>
      <c r="E138" s="49">
        <f>COUNTIF(Itens!$P$2:$P$500,A138)</f>
        <v/>
      </c>
      <c r="F138" s="49">
        <f>COUNTIFS(Itens!$P$2:$P$500,A138,Itens!$K$2:$K$500,"Consistente")+COUNTIFS(Itens!$P$2:$P$500,A138,Itens!$K$2:$K$500,"Corrigido 2026-10-14")+COUNTIFS(Itens!$P$2:$P$500,A138,Itens!$K$2:$K$500,"Corrigido 2026-10-15")+COUNTIFS(Itens!$P$2:$P$500,A138,Itens!$K$2:$K$500,"Corrigido 2026-10-16")+COUNTIFS(Itens!$P$2:$P$500,A138,Itens!$K$2:$K$500,"Corrigido 2026-10-09")</f>
        <v/>
      </c>
      <c r="G138" s="49">
        <f>COUNTIFS(Itens!$P$2:$P$500,A138,Itens!$K$2:$K$500,"Aberto / não resolvido")</f>
        <v/>
      </c>
      <c r="H138" s="49">
        <f>COUNTIFS(Itens!$P$2:$P$500,A138,Itens!$K$2:$K$500,"Correção pendente (audit)")</f>
        <v/>
      </c>
      <c r="I138" s="49">
        <f>COUNTIFS(Itens!$P$2:$P$500,A138,Itens!$K$2:$K$500,"Não auditado")</f>
        <v/>
      </c>
      <c r="J138" s="48" t="inlineStr">
        <is>
          <t>A1</t>
        </is>
      </c>
      <c r="K138" s="34" t="inlineStr">
        <is>
          <t>—</t>
        </is>
      </c>
      <c r="L138" s="50">
        <f>IFERROR(AVERAGEIF(Itens!$P$2:$P$500,A138,Itens!$L$2:$L$500),0)</f>
        <v/>
      </c>
    </row>
    <row r="139">
      <c r="A139" s="46" t="inlineStr">
        <is>
          <t>BUILD-HW</t>
        </is>
      </c>
      <c r="B139" s="34" t="inlineStr">
        <is>
          <t>Evidência ao vivo do clone (M-A, M-FW, H.1, MAFirmwareInfo)</t>
        </is>
      </c>
      <c r="C139" s="46">
        <f>IF(D139&gt;=1,"Fechado",IF(G139+H139&gt;0,"Com pendência",IF(I139&gt;0,"Parcial","Em dia")))</f>
        <v/>
      </c>
      <c r="D139" s="47">
        <f>IFERROR(F139/E139,0)</f>
        <v/>
      </c>
      <c r="E139" s="49">
        <f>COUNTIF(Itens!$P$2:$P$500,A139)</f>
        <v/>
      </c>
      <c r="F139" s="49">
        <f>COUNTIFS(Itens!$P$2:$P$500,A139,Itens!$K$2:$K$500,"Consistente")+COUNTIFS(Itens!$P$2:$P$500,A139,Itens!$K$2:$K$500,"Corrigido 2026-10-14")+COUNTIFS(Itens!$P$2:$P$500,A139,Itens!$K$2:$K$500,"Corrigido 2026-10-15")+COUNTIFS(Itens!$P$2:$P$500,A139,Itens!$K$2:$K$500,"Corrigido 2026-10-16")+COUNTIFS(Itens!$P$2:$P$500,A139,Itens!$K$2:$K$500,"Corrigido 2026-10-09")</f>
        <v/>
      </c>
      <c r="G139" s="49">
        <f>COUNTIFS(Itens!$P$2:$P$500,A139,Itens!$K$2:$K$500,"Aberto / não resolvido")</f>
        <v/>
      </c>
      <c r="H139" s="49">
        <f>COUNTIFS(Itens!$P$2:$P$500,A139,Itens!$K$2:$K$500,"Correção pendente (audit)")</f>
        <v/>
      </c>
      <c r="I139" s="49">
        <f>COUNTIFS(Itens!$P$2:$P$500,A139,Itens!$K$2:$K$500,"Não auditado")</f>
        <v/>
      </c>
      <c r="J139" s="48" t="inlineStr">
        <is>
          <t>Build</t>
        </is>
      </c>
      <c r="K139" s="34" t="inlineStr">
        <is>
          <t>—</t>
        </is>
      </c>
      <c r="L139" s="50">
        <f>IFERROR(AVERAGEIF(Itens!$P$2:$P$500,A139,Itens!$L$2:$L$500),0)</f>
        <v/>
      </c>
    </row>
    <row r="140">
      <c r="A140" s="24" t="inlineStr">
        <is>
          <t>Backlog — o que falta para sair da pesquisa (priorizado)</t>
        </is>
      </c>
    </row>
    <row r="141">
      <c r="A141" s="45" t="inlineStr">
        <is>
          <t>#</t>
        </is>
      </c>
      <c r="B141" s="45" t="inlineStr">
        <is>
          <t>Pendência</t>
        </is>
      </c>
      <c r="C141" s="45" t="inlineStr">
        <is>
          <t>Prioridade</t>
        </is>
      </c>
      <c r="D141" s="45" t="inlineStr">
        <is>
          <t>Quem</t>
        </is>
      </c>
      <c r="E141" s="45" t="inlineStr">
        <is>
          <t>Ferramenta</t>
        </is>
      </c>
      <c r="F141" s="45" t="inlineStr">
        <is>
          <t>Bloqueia</t>
        </is>
      </c>
      <c r="G141" s="45" t="inlineStr"/>
      <c r="H141" s="45" t="inlineStr"/>
      <c r="I141" s="45" t="inlineStr"/>
      <c r="J141" s="45" t="inlineStr"/>
      <c r="K141" s="45" t="inlineStr">
        <is>
          <t>Como fechar</t>
        </is>
      </c>
      <c r="L141" s="45" t="inlineStr">
        <is>
          <t>Itens/flags ligados</t>
        </is>
      </c>
    </row>
    <row r="142" ht="56" customHeight="1" s="21">
      <c r="A142" s="46" t="n">
        <v>1</v>
      </c>
      <c r="B142" s="34" t="inlineStr">
        <is>
          <t>Decidir o desvio "clientClose chama terminate()" (o reference vaza user clients; o clone deveria corrigir)</t>
        </is>
      </c>
      <c r="C142" s="46" t="inlineStr">
        <is>
          <t>Média</t>
        </is>
      </c>
      <c r="D142" s="48" t="inlineStr">
        <is>
          <t>Você</t>
        </is>
      </c>
      <c r="E142" s="34" t="inlineStr">
        <is>
          <t>—</t>
        </is>
      </c>
      <c r="F142" s="34" t="inlineStr">
        <is>
          <t>Kext (E2)</t>
        </is>
      </c>
      <c r="G142" s="34" t="inlineStr"/>
      <c r="H142" s="34" t="inlineStr"/>
      <c r="I142" s="34" t="inlineStr"/>
      <c r="J142" s="34" t="inlineStr"/>
      <c r="K142" s="34" t="inlineStr">
        <is>
          <t>Mirror vs correção: registrar como desvio deliberado (A1-Q-UC.6).</t>
        </is>
      </c>
      <c r="L142" s="34" t="inlineStr">
        <is>
          <t>A1-Q-UC.6</t>
        </is>
      </c>
    </row>
    <row r="143" ht="56" customHeight="1" s="21">
      <c r="A143" s="46" t="n">
        <v>2</v>
      </c>
      <c r="B143" s="34" t="inlineStr">
        <is>
          <t>Por que o helper cria 2 instâncias (2 UCs, 2 escritas de 6570 B) por start; conteúdo dos payloads</t>
        </is>
      </c>
      <c r="C143" s="46" t="inlineStr">
        <is>
          <t>Baixa</t>
        </is>
      </c>
      <c r="D143" s="48" t="inlineStr">
        <is>
          <t>Claude</t>
        </is>
      </c>
      <c r="E143" s="34" t="inlineStr">
        <is>
          <t>Ghidra (xrefs de loadPrefsForUser:) + trace pontual no SL</t>
        </is>
      </c>
      <c r="F143" s="34" t="inlineStr">
        <is>
          <t>A4/E1</t>
        </is>
      </c>
      <c r="G143" s="34" t="inlineStr"/>
      <c r="H143" s="34" t="inlineStr"/>
      <c r="I143" s="34" t="inlineStr"/>
      <c r="J143" s="34" t="inlineStr"/>
      <c r="K143" s="34" t="inlineStr">
        <is>
          <t>Xrefs de driverInstanceMatched:/deviceInstanceForService:; decodificar o dict de 6570 B (captura 23).</t>
        </is>
      </c>
      <c r="L143" s="34" t="inlineStr">
        <is>
          <t>A4-H11.1</t>
        </is>
      </c>
    </row>
    <row r="144" ht="56" customHeight="1" s="21">
      <c r="A144" s="46" t="n">
        <v>3</v>
      </c>
      <c r="B144" s="34" t="inlineStr">
        <is>
          <t>Reação do DM1000 ao rótulo 0xCF e propósito dos sleeps de 300/2500 ms</t>
        </is>
      </c>
      <c r="C144" s="46" t="inlineStr">
        <is>
          <t>Média</t>
        </is>
      </c>
      <c r="D144" s="48" t="inlineStr">
        <is>
          <t>Claude</t>
        </is>
      </c>
      <c r="E144" s="34" t="inlineStr">
        <is>
          <t>Análise do ARM do fw1814.bcd / captura isoch</t>
        </is>
      </c>
      <c r="F144" s="34" t="inlineStr">
        <is>
          <t>C4</t>
        </is>
      </c>
      <c r="G144" s="34" t="inlineStr"/>
      <c r="H144" s="34" t="inlineStr"/>
      <c r="I144" s="34" t="inlineStr"/>
      <c r="J144" s="34" t="inlineStr"/>
      <c r="K144" s="34" t="inlineStr">
        <is>
          <t>Procurar tratamento de rótulos AM824 no firmware ARM (Ghidra, ARM7TDMI) ou capturar TX ocioso.</t>
        </is>
      </c>
      <c r="L144" s="34" t="inlineStr">
        <is>
          <t>A1-Q17.2; A1-Q5.5</t>
        </is>
      </c>
    </row>
    <row r="145" ht="56" customHeight="1" s="21">
      <c r="A145" s="46" t="n">
        <v>4</v>
      </c>
      <c r="B145" s="34" t="inlineStr">
        <is>
          <t>Quantos FWEngine1 aparecem com MAEnableStereoPairEngines=1; contagem de saídas/entradas por modo em 176/192 kHz</t>
        </is>
      </c>
      <c r="C145" s="46" t="inlineStr">
        <is>
          <t>Baixa</t>
        </is>
      </c>
      <c r="D145" s="48" t="inlineStr">
        <is>
          <t>Claude</t>
        </is>
      </c>
      <c r="E145" s="34" t="inlineStr">
        <is>
          <t>Rig SL (ioreg com a opção ligada)</t>
        </is>
      </c>
      <c r="F145" s="34" t="inlineStr">
        <is>
          <t>Painel/E3</t>
        </is>
      </c>
      <c r="G145" s="34" t="inlineStr"/>
      <c r="H145" s="34" t="inlineStr"/>
      <c r="I145" s="34" t="inlineStr"/>
      <c r="J145" s="34" t="inlineStr"/>
      <c r="K145" s="34" t="inlineStr">
        <is>
          <t>Ligar a opção com o dispositivo ocioso e inspecionar ioreg.</t>
        </is>
      </c>
      <c r="L145" s="34" t="inlineStr">
        <is>
          <t>A1-Q13.1</t>
        </is>
      </c>
    </row>
    <row r="146" ht="56" customHeight="1" s="21">
      <c r="A146" s="46" t="n">
        <v>5</v>
      </c>
      <c r="B146" s="34" t="inlineStr">
        <is>
          <t>Efeito no hardware da ordem INPUT→OUTPUT com 500 ms vs memória antiga OUTPUT→100 ms→INPUT</t>
        </is>
      </c>
      <c r="C146" s="46" t="inlineStr">
        <is>
          <t>Alta</t>
        </is>
      </c>
      <c r="D146" s="48" t="inlineStr">
        <is>
          <t>Claude</t>
        </is>
      </c>
      <c r="E146" s="34" t="inlineStr">
        <is>
          <t>DTrace/FCP no rig SL</t>
        </is>
      </c>
      <c r="F146" s="34" t="inlineStr">
        <is>
          <t>D (stream-kick do clone)</t>
        </is>
      </c>
      <c r="G146" s="34" t="inlineStr"/>
      <c r="H146" s="34" t="inlineStr"/>
      <c r="I146" s="34" t="inlineStr"/>
      <c r="J146" s="34" t="inlineStr"/>
      <c r="K146" s="34" t="inlineStr">
        <is>
          <t>Captura FCP+isoch temporizada no SL; arquivar em B5 captures.</t>
        </is>
      </c>
      <c r="L146" s="34" t="inlineStr">
        <is>
          <t>A1-Q3a.2; AUD-C4-06, C2-10</t>
        </is>
      </c>
    </row>
    <row r="147" ht="56" customHeight="1" s="21">
      <c r="A147" s="46" t="n">
        <v>6</v>
      </c>
      <c r="B147" s="34" t="inlineStr">
        <is>
          <t>Bits de roteamento (0x90/0x98/0x9c), ordem de bytes do pan e seletores AV/C do mixer FW1814</t>
        </is>
      </c>
      <c r="C147" s="46" t="inlineStr">
        <is>
          <t>Média</t>
        </is>
      </c>
      <c r="D147" s="48" t="inlineStr">
        <is>
          <t>Claude</t>
        </is>
      </c>
      <c r="E147" s="34" t="inlineStr">
        <is>
          <t>Captura de writes no SL (setProperties + FCP/async) ou leitura do Rust crate</t>
        </is>
      </c>
      <c r="F147" s="34" t="inlineStr">
        <is>
          <t>Painel/E3</t>
        </is>
      </c>
      <c r="G147" s="34" t="inlineStr"/>
      <c r="H147" s="34" t="inlineStr"/>
      <c r="I147" s="34" t="inlineStr"/>
      <c r="J147" s="34" t="inlineStr"/>
      <c r="K147" s="34" t="inlineStr">
        <is>
          <t>Mapear cada bit com FFADO/Rust special.rs e confirmar em captura; derivar o frame AVCMixerConnectPair.</t>
        </is>
      </c>
      <c r="L147" s="34" t="inlineStr">
        <is>
          <t>A1-Q-MAMAP.1</t>
        </is>
      </c>
    </row>
    <row r="148" ht="56" customHeight="1" s="21">
      <c r="A148" s="46" t="n">
        <v>7</v>
      </c>
      <c r="B148" s="34" t="inlineStr">
        <is>
          <t>[FECHADO 2026-10-14, R31] Falha de init anterior ao pânico = rejeição de probe na 1ª rodada + delete(NULL)</t>
        </is>
      </c>
      <c r="C148" s="46" t="inlineStr">
        <is>
          <t>Fechado</t>
        </is>
      </c>
      <c r="D148" s="48" t="inlineStr">
        <is>
          <t>Claude</t>
        </is>
      </c>
      <c r="E148" s="34" t="inlineStr">
        <is>
          <t>Ghidra + logs de pânico</t>
        </is>
      </c>
      <c r="F148" s="34" t="inlineStr">
        <is>
          <t>D1/D3</t>
        </is>
      </c>
      <c r="G148" s="34" t="inlineStr"/>
      <c r="H148" s="34" t="inlineStr"/>
      <c r="I148" s="34" t="inlineStr"/>
      <c r="J148" s="34" t="inlineStr"/>
      <c r="K148" s="34" t="inlineStr">
        <is>
          <t>Ver A1-Q-SDK.5 e Q-SDK5-first-round-probe-reject.md.</t>
        </is>
      </c>
      <c r="L148" s="34" t="inlineStr">
        <is>
          <t>A1-Q-SDK.4; A1-Q-SDK.5</t>
        </is>
      </c>
    </row>
    <row r="149" ht="56" customHeight="1" s="21">
      <c r="A149" s="46" t="n">
        <v>8</v>
      </c>
      <c r="B149" s="34" t="inlineStr">
        <is>
          <t>Captura FCP de troca de clock: bytes 7/8/9 e bytes 10–15 do frame HSCI de 16 B</t>
        </is>
      </c>
      <c r="C149" s="46" t="inlineStr">
        <is>
          <t>Média</t>
        </is>
      </c>
      <c r="D149" s="48" t="inlineStr">
        <is>
          <t>Claude</t>
        </is>
      </c>
      <c r="E149" s="34" t="inlineStr">
        <is>
          <t>DTrace FCP no SL</t>
        </is>
      </c>
      <c r="F149" s="34" t="inlineStr">
        <is>
          <t>C3/C5</t>
        </is>
      </c>
      <c r="G149" s="34" t="inlineStr"/>
      <c r="H149" s="34" t="inlineStr"/>
      <c r="I149" s="34" t="inlineStr"/>
      <c r="J149" s="34" t="inlineStr"/>
      <c r="K149" s="34" t="inlineStr">
        <is>
          <t>Capturar mudança de clock-source e comparar byte a byte com 0xe31a–0xe425.</t>
        </is>
      </c>
      <c r="L149" s="34" t="inlineStr">
        <is>
          <t>A1-Q5.2</t>
        </is>
      </c>
    </row>
    <row r="150" ht="56" customHeight="1" s="21">
      <c r="A150" s="46" t="n">
        <v>9</v>
      </c>
      <c r="B150" s="34" t="inlineStr">
        <is>
          <t>Hipótese do idle-lock 0xCF vs label 0x40</t>
        </is>
      </c>
      <c r="C150" s="46" t="inlineStr">
        <is>
          <t>Média</t>
        </is>
      </c>
      <c r="D150" s="48" t="inlineStr">
        <is>
          <t>Claude</t>
        </is>
      </c>
      <c r="E150" s="34" t="inlineStr">
        <is>
          <t>Hardware</t>
        </is>
      </c>
      <c r="F150" s="34" t="inlineStr">
        <is>
          <t>C4 (pré-preenchimento)</t>
        </is>
      </c>
      <c r="G150" s="34" t="inlineStr"/>
      <c r="H150" s="34" t="inlineStr"/>
      <c r="I150" s="34" t="inlineStr"/>
      <c r="J150" s="34" t="inlineStr"/>
      <c r="K150" s="34" t="inlineStr">
        <is>
          <t>Comparar comportamento ocioso com cada preenchimento.</t>
        </is>
      </c>
      <c r="L150" s="34" t="inlineStr">
        <is>
          <t>A1-Q17.2; AUD-C4-09</t>
        </is>
      </c>
    </row>
    <row r="151" ht="56" customHeight="1" s="21">
      <c r="A151" s="46" t="n">
        <v>10</v>
      </c>
      <c r="B151" s="34" t="inlineStr">
        <is>
          <t>Custos de tempo estimados no C6 (~1 ms AV/C, 85 µs, 616 µs…)</t>
        </is>
      </c>
      <c r="C151" s="46" t="inlineStr">
        <is>
          <t>Média</t>
        </is>
      </c>
      <c r="D151" s="48" t="inlineStr">
        <is>
          <t>Claude</t>
        </is>
      </c>
      <c r="E151" s="34" t="inlineStr">
        <is>
          <t>DTrace timestamps</t>
        </is>
      </c>
      <c r="F151" s="34" t="inlineStr">
        <is>
          <t>C6</t>
        </is>
      </c>
      <c r="G151" s="34" t="inlineStr"/>
      <c r="H151" s="34" t="inlineStr"/>
      <c r="I151" s="34" t="inlineStr"/>
      <c r="J151" s="34" t="inlineStr"/>
      <c r="K151" s="34" t="inlineStr">
        <is>
          <t>Medir; trocar estimativas por números citados.</t>
        </is>
      </c>
      <c r="L151" s="34" t="inlineStr">
        <is>
          <t>C6.1; AUD-C3-07, C4-11</t>
        </is>
      </c>
    </row>
    <row r="152" ht="56" customHeight="1" s="21">
      <c r="A152" s="46" t="inlineStr">
        <is>
          <t>11</t>
        </is>
      </c>
      <c r="B152" s="34" t="inlineStr">
        <is>
          <t>[FEITO 2026-10-14] Aprovar a Parte D (D1). Pendentes: wireframe do painel, Developer ID</t>
        </is>
      </c>
      <c r="C152" s="46" t="inlineStr">
        <is>
          <t>Alta</t>
        </is>
      </c>
      <c r="D152" s="48" t="inlineStr">
        <is>
          <t>Você</t>
        </is>
      </c>
      <c r="E152" s="34" t="inlineStr">
        <is>
          <t>—</t>
        </is>
      </c>
      <c r="F152" s="34" t="inlineStr">
        <is>
          <t>Todo o build</t>
        </is>
      </c>
      <c r="G152" s="34" t="n"/>
      <c r="H152" s="34" t="n"/>
      <c r="I152" s="34" t="n"/>
      <c r="J152" s="34" t="n"/>
      <c r="K152" s="34" t="inlineStr">
        <is>
          <t>Decisão sua.</t>
        </is>
      </c>
      <c r="L152" s="34" t="inlineStr">
        <is>
          <t>—</t>
        </is>
      </c>
    </row>
    <row r="153" ht="56" customHeight="1" s="21">
      <c r="A153" s="46" t="inlineStr">
        <is>
          <t>12</t>
        </is>
      </c>
      <c r="B153" s="34" t="inlineStr">
        <is>
          <t>Rodar `csrutil status` + `spctl kext-consent` e testar kextutil -n com SIP LIGADO (B3.2) — reduz a incerteza dos breakers #1/#2</t>
        </is>
      </c>
      <c r="C153" s="46" t="inlineStr">
        <is>
          <t>Média</t>
        </is>
      </c>
      <c r="D153" s="48" t="inlineStr">
        <is>
          <t>Você</t>
        </is>
      </c>
      <c r="E153" s="34" t="inlineStr">
        <is>
          <t>Recovery (csrutil) + kextutil -n</t>
        </is>
      </c>
      <c r="F153" s="34" t="inlineStr">
        <is>
          <t>D (assinatura)</t>
        </is>
      </c>
      <c r="G153" s="34" t="n"/>
      <c r="H153" s="34" t="n"/>
      <c r="I153" s="34" t="n"/>
      <c r="J153" s="34" t="n"/>
      <c r="K153" s="34" t="inlineStr">
        <is>
          <t>Reabilitar SIP em Recovery e rodar kextutil -n -t com o 1.11.3 assinado e o bundle do hack Sierra.</t>
        </is>
      </c>
      <c r="L153" s="34" t="inlineStr">
        <is>
          <t>B3.2</t>
        </is>
      </c>
    </row>
    <row r="154">
      <c r="A154" s="46" t="inlineStr">
        <is>
          <t>13</t>
        </is>
      </c>
      <c r="B154" s="34" t="inlineStr">
        <is>
          <t>[RESOLVIDO 2026-10-14] Diretriz: o mais próximo do oficial, com modificações necessárias + UI melhor -&gt; D1 preferido, D2 reserva</t>
        </is>
      </c>
      <c r="C154" s="46" t="inlineStr">
        <is>
          <t>Fechado</t>
        </is>
      </c>
      <c r="D154" s="48" t="inlineStr">
        <is>
          <t>Você</t>
        </is>
      </c>
      <c r="E154" s="34" t="inlineStr">
        <is>
          <t>—</t>
        </is>
      </c>
      <c r="F154" s="34" t="inlineStr">
        <is>
          <t>Aprovação de D</t>
        </is>
      </c>
      <c r="G154" s="34" t="n"/>
      <c r="H154" s="34" t="n"/>
      <c r="I154" s="34" t="n"/>
      <c r="J154" s="34" t="n"/>
      <c r="K154" s="34" t="inlineStr">
        <is>
          <t>Memória feedback_patch_original_kext reescrita.</t>
        </is>
      </c>
      <c r="L154" s="34" t="inlineStr">
        <is>
          <t>D.1</t>
        </is>
      </c>
    </row>
    <row r="155">
      <c r="A155" s="46" t="inlineStr">
        <is>
          <t>14</t>
        </is>
      </c>
      <c r="B155" s="34" t="inlineStr">
        <is>
          <t>P1/P2: ler generateBufferMap e a máscara física do IOBMD no 10.13.6 (aceitação do DCL clássico e do pool de pacotes) — vale para o clone</t>
        </is>
      </c>
      <c r="C155" s="46" t="inlineStr">
        <is>
          <t>Alta</t>
        </is>
      </c>
      <c r="D155" s="48" t="inlineStr">
        <is>
          <t>Claude (estático) + Você (OK p/ patch em /tmp)</t>
        </is>
      </c>
      <c r="E155" s="34" t="inlineStr">
        <is>
          <t>Ghidra; kextutil -n no build PC após D aprovada</t>
        </is>
      </c>
      <c r="F155" s="34" t="inlineStr">
        <is>
          <t>D2 (M-B)</t>
        </is>
      </c>
      <c r="G155" s="34" t="n"/>
      <c r="H155" s="34" t="n"/>
      <c r="I155" s="34" t="n"/>
      <c r="J155" s="34" t="n"/>
      <c r="K155" s="34" t="inlineStr">
        <is>
          <t>Estático no dev Mac; helper entra no plano de build (E1).</t>
        </is>
      </c>
      <c r="L155" s="34" t="inlineStr">
        <is>
          <t>A1-Q-SDK.5; A4-H2</t>
        </is>
      </c>
    </row>
    <row r="156">
      <c r="A156" s="46" t="inlineStr">
        <is>
          <t>15</t>
        </is>
      </c>
      <c r="B156" s="34" t="inlineStr">
        <is>
          <t>[PARCIAL 2026-10-15] Verificar se a AppleFWAudio reivindica o FW1814 no 10.13: com o nosso kext carregado NÃO aparece AppleFWAudio nem unidade/sub-unidade AV/C no registro; as personalidades go-away não foram exercitadas</t>
        </is>
      </c>
      <c r="C156" s="46" t="inlineStr">
        <is>
          <t>Média</t>
        </is>
      </c>
      <c r="D156" s="48" t="inlineStr">
        <is>
          <t>Você (OK p/ leitura no build PC)</t>
        </is>
      </c>
      <c r="E156" s="34" t="inlineStr">
        <is>
          <t>kextstat + ioreg (somente leitura) com a interface ligada e SEM nosso kext</t>
        </is>
      </c>
      <c r="F156" s="34" t="inlineStr">
        <is>
          <t>D2 (go-away do FW1814 no clone, M-A)</t>
        </is>
      </c>
      <c r="G156" s="34" t="n"/>
      <c r="H156" s="34" t="n"/>
      <c r="I156" s="34" t="n"/>
      <c r="J156" s="34" t="n"/>
      <c r="K156" s="34" t="inlineStr">
        <is>
          <t>Reconfirmar no teste integrado (depois do isoch) se algum cliente AV/C aparece; só então decidir se o go-away é necessário.</t>
        </is>
      </c>
      <c r="L156" s="34" t="inlineStr">
        <is>
          <t>A1-Q8.2; A1-Q-D1.1 R-4</t>
        </is>
      </c>
    </row>
    <row r="157">
      <c r="A157" s="46" t="inlineStr">
        <is>
          <t>16</t>
        </is>
      </c>
      <c r="B157" s="34" t="inlineStr">
        <is>
          <t>[OBSOLETO 2026-10-14] Critério de queda para o D2 (D1 retirado)</t>
        </is>
      </c>
      <c r="C157" s="46" t="inlineStr">
        <is>
          <t>Fechado</t>
        </is>
      </c>
      <c r="D157" s="48" t="inlineStr">
        <is>
          <t>Claude + Você</t>
        </is>
      </c>
      <c r="E157" s="34" t="inlineStr">
        <is>
          <t>—</t>
        </is>
      </c>
      <c r="F157" s="34" t="inlineStr">
        <is>
          <t>Plano de build</t>
        </is>
      </c>
      <c r="G157" s="34" t="n"/>
      <c r="H157" s="34" t="n"/>
      <c r="I157" s="34" t="n"/>
      <c r="J157" s="34" t="n"/>
      <c r="K157" s="34" t="inlineStr">
        <is>
          <t>Escrever no plano; você aprova antes de qualquer patch.</t>
        </is>
      </c>
      <c r="L157" s="34" t="inlineStr">
        <is>
          <t>A1-Q-D1.1</t>
        </is>
      </c>
    </row>
    <row r="158">
      <c r="A158" s="46" t="n">
        <v>17</v>
      </c>
      <c r="B158" s="34" t="inlineStr">
        <is>
          <t>[FEITO 2026-10-15/16] Portar FWDCLProgram.cpp para o novo FWDCLProgram.h e fechar o M-B (estático; build limpo + kextutil -t -n)</t>
        </is>
      </c>
      <c r="C158" s="46" t="inlineStr">
        <is>
          <t>Fechado</t>
        </is>
      </c>
      <c r="D158" s="48" t="inlineStr">
        <is>
          <t>Claude</t>
        </is>
      </c>
      <c r="E158" s="34" t="inlineStr">
        <is>
          <t>Editor + sync-to-buildpc.sh --build</t>
        </is>
      </c>
      <c r="F158" s="34" t="inlineStr">
        <is>
          <t>M-B</t>
        </is>
      </c>
      <c r="G158" s="34" t="n"/>
      <c r="H158" s="34" t="n"/>
      <c r="I158" s="34" t="n"/>
      <c r="J158" s="34" t="n"/>
      <c r="K158" s="34" t="inlineStr">
        <is>
          <t>Seguir Q-MB §3-§6; remover o gancho de bring-up do FW1814Device.</t>
        </is>
      </c>
      <c r="L158" s="34" t="inlineStr">
        <is>
          <t>A1-Q-DCL.5-9; A1-Q1.5; A1-Q17.3-4</t>
        </is>
      </c>
    </row>
    <row r="159">
      <c r="A159" s="46" t="n">
        <v>18</v>
      </c>
      <c r="B159" s="34" t="inlineStr">
        <is>
          <t>[FEITO 2026-10-15/16] Q-START: decompilar FWEngine2::StartAudio (vt[0xd08]/[0xd10]) e vt[0x128]/[0x158] dos programas; quem chama Connect, channel-&gt;start e ResetPort</t>
        </is>
      </c>
      <c r="C159" s="46" t="inlineStr">
        <is>
          <t>Fechado</t>
        </is>
      </c>
      <c r="D159" s="48" t="inlineStr">
        <is>
          <t>Claude</t>
        </is>
      </c>
      <c r="E159" s="34" t="inlineStr">
        <is>
          <t>Ghidra headless (DecompList.java)</t>
        </is>
      </c>
      <c r="F159" s="34" t="inlineStr">
        <is>
          <t>M-C</t>
        </is>
      </c>
      <c r="G159" s="34" t="n"/>
      <c r="H159" s="34" t="n"/>
      <c r="I159" s="34" t="n"/>
      <c r="J159" s="34" t="n"/>
      <c r="K159" s="34" t="inlineStr">
        <is>
          <t>Corrigir C2 §7/Q3a se 'start' era Connect.</t>
        </is>
      </c>
      <c r="L159" s="34" t="inlineStr">
        <is>
          <t>A1-Q3a.5; AUD-QMB-04</t>
        </is>
      </c>
    </row>
    <row r="160">
      <c r="A160" s="46" t="n">
        <v>19</v>
      </c>
      <c r="B160" s="34" t="inlineStr">
        <is>
          <t>Documentar TX/RX MIDI nos pacotes (ScheduleMidiPacket, ProcessCompoundMIDIOutput/Input) a partir de q-mb-dcl-callbacks.c</t>
        </is>
      </c>
      <c r="C160" s="46" t="inlineStr">
        <is>
          <t>Média</t>
        </is>
      </c>
      <c r="D160" s="48" t="inlineStr">
        <is>
          <t>Claude</t>
        </is>
      </c>
      <c r="E160" s="34" t="inlineStr">
        <is>
          <t>Leitura do decompile</t>
        </is>
      </c>
      <c r="F160" s="34" t="inlineStr">
        <is>
          <t>M-H</t>
        </is>
      </c>
      <c r="G160" s="34" t="n"/>
      <c r="H160" s="34" t="n"/>
      <c r="I160" s="34" t="n"/>
      <c r="J160" s="34" t="n"/>
      <c r="K160" s="34" t="inlineStr">
        <is>
          <t>Escrever Q-doc A3 com cites e portar no M-H.</t>
        </is>
      </c>
      <c r="L160" s="34" t="inlineStr">
        <is>
          <t>A3-M5; A3-M6</t>
        </is>
      </c>
    </row>
    <row r="161">
      <c r="A161" s="46" t="n">
        <v>20</v>
      </c>
      <c r="B161" s="34" t="inlineStr">
        <is>
          <t>Aceitação do DCL clássico + alocação KMA_LOMEM do pool no 10.13.6 (D2-2)</t>
        </is>
      </c>
      <c r="C161" s="46" t="inlineStr">
        <is>
          <t>Alta</t>
        </is>
      </c>
      <c r="D161" s="48" t="inlineStr">
        <is>
          <t>Claude + Você presente</t>
        </is>
      </c>
      <c r="E161" s="34" t="inlineStr">
        <is>
          <t>Teste integrado (IN.3)</t>
        </is>
      </c>
      <c r="F161" s="34" t="inlineStr">
        <is>
          <t>D2-2</t>
        </is>
      </c>
      <c r="G161" s="34" t="n"/>
      <c r="H161" s="34" t="n"/>
      <c r="I161" s="34" t="n"/>
      <c r="J161" s="34" t="n"/>
      <c r="K161" s="34" t="inlineStr">
        <is>
          <t>Só no teste integrado (regra do avião); ler os caminhos de erro logados.</t>
        </is>
      </c>
      <c r="L161" s="34" t="inlineStr">
        <is>
          <t>A1-Q-DCL.9</t>
        </is>
      </c>
    </row>
    <row r="162">
      <c r="A162" s="46" t="n">
        <v>21</v>
      </c>
      <c r="B162" s="34" t="inlineStr">
        <is>
          <t>Wireframe do painel (PN.1), Developer ID (IN.6), checagem de SIP ligado (IN.1), segundo FW1814 (M-K)</t>
        </is>
      </c>
      <c r="C162" s="46" t="inlineStr">
        <is>
          <t>Alta</t>
        </is>
      </c>
      <c r="D162" s="48" t="inlineStr">
        <is>
          <t>Você</t>
        </is>
      </c>
      <c r="E162" s="34" t="inlineStr">
        <is>
          <t>—</t>
        </is>
      </c>
      <c r="F162" s="34" t="inlineStr">
        <is>
          <t>PN.*, IN.*, M-K</t>
        </is>
      </c>
      <c r="G162" s="34" t="n"/>
      <c r="H162" s="34" t="n"/>
      <c r="I162" s="34" t="n"/>
      <c r="J162" s="34" t="n"/>
      <c r="K162" s="34" t="inlineStr">
        <is>
          <t>Fornecer quando o painel/instalador chegarem à vez no fluxograma.</t>
        </is>
      </c>
      <c r="L162" s="34" t="inlineStr">
        <is>
          <t>PN.1; IN.1; IN.6; M-K</t>
        </is>
      </c>
    </row>
    <row r="163">
      <c r="A163" s="46" t="n">
        <v>22</v>
      </c>
      <c r="B163" s="34" t="inlineStr">
        <is>
          <t>Go vs auto-boot do bootloader (~3 s): o Go é necessário?</t>
        </is>
      </c>
      <c r="C163" s="46" t="inlineStr">
        <is>
          <t>Baixa</t>
        </is>
      </c>
      <c r="D163" s="48" t="inlineStr">
        <is>
          <t>Claude</t>
        </is>
      </c>
      <c r="E163" s="34" t="inlineStr">
        <is>
          <t>Log do kernel</t>
        </is>
      </c>
      <c r="F163" s="34" t="inlineStr">
        <is>
          <t>—</t>
        </is>
      </c>
      <c r="G163" s="34" t="n"/>
      <c r="H163" s="34" t="n"/>
      <c r="I163" s="34" t="n"/>
      <c r="J163" s="34" t="n"/>
      <c r="K163" s="34" t="inlineStr">
        <is>
          <t>Só se for preciso garantir o Go; o auto-boot cobre. Pode ser deixado.</t>
        </is>
      </c>
      <c r="L163" s="34" t="inlineStr">
        <is>
          <t>A1-Q7.8</t>
        </is>
      </c>
    </row>
    <row r="164">
      <c r="A164" s="46" t="inlineStr">
        <is>
          <t>23</t>
        </is>
      </c>
      <c r="B164" s="34" t="inlineStr">
        <is>
          <t>[FEITO 2026-10-17, R60] Rótulo "N ins / M outs" do AMS (M-S): verificar se só é montado ao adicionar o dispositivo; decidir se republicar o dispositivo no HAL [2026-10-17: evidência no - resolvido por re-publicação do engine</t>
        </is>
      </c>
      <c r="C164" s="46" t="inlineStr">
        <is>
          <t>Fechado</t>
        </is>
      </c>
      <c r="D164" s="48" t="inlineStr">
        <is>
          <t>Claude + Você (decisão do desvio)</t>
        </is>
      </c>
      <c r="E164" s="34" t="inlineStr">
        <is>
          <t>AMS aberto em ADAT + halwatch/aduplex + DTrace no AMS</t>
        </is>
      </c>
      <c r="F164" s="34" t="inlineStr">
        <is>
          <t>M-S / M-Q</t>
        </is>
      </c>
    </row>
    <row r="165">
      <c r="A165" s="46" t="inlineStr">
        <is>
          <t>24</t>
        </is>
      </c>
      <c r="B165" s="34" t="inlineStr">
        <is>
          <t>PN.8: painel mantém a taxa escolhida em vermelho e sincroniza sem clique</t>
        </is>
      </c>
      <c r="C165" s="46" t="inlineStr">
        <is>
          <t>Alta</t>
        </is>
      </c>
      <c r="D165" s="48" t="inlineStr">
        <is>
          <t>Claude</t>
        </is>
      </c>
      <c r="E165" s="34" t="inlineStr">
        <is>
          <t>Painel (DeviceModel/HardwareTab) + hardware</t>
        </is>
      </c>
      <c r="F165" s="34" t="inlineStr">
        <is>
          <t>Painel</t>
        </is>
      </c>
    </row>
    <row r="166">
      <c r="A166" s="46" t="inlineStr">
        <is>
          <t>25</t>
        </is>
      </c>
      <c r="B166" s="34" t="inlineStr">
        <is>
          <t>Escada em hardware: entrada/loopback, varredura de taxa, ADAT/192k, MIDI, sleep/wake, 5 min estável</t>
        </is>
      </c>
      <c r="C166" s="46" t="inlineStr">
        <is>
          <t>Alta</t>
        </is>
      </c>
      <c r="D166" s="48" t="inlineStr">
        <is>
          <t>Claude + Você presente</t>
        </is>
      </c>
      <c r="E166" s="34" t="inlineStr">
        <is>
          <t>tests/hw-smoke + jig de loopback</t>
        </is>
      </c>
      <c r="F166" s="34" t="inlineStr">
        <is>
          <t>M-C/M-D/M-L</t>
        </is>
      </c>
    </row>
    <row r="167">
      <c r="A167" s="46" t="inlineStr">
        <is>
          <t>26</t>
        </is>
      </c>
      <c r="B167" s="34" t="inlineStr">
        <is>
          <t>Remover diagnósticos (O4): logs "AVC ...", HSCI, mixer write, LogStreamState</t>
        </is>
      </c>
      <c r="C167" s="46" t="inlineStr">
        <is>
          <t>Média</t>
        </is>
      </c>
      <c r="D167" s="48" t="inlineStr">
        <is>
          <t>Claude</t>
        </is>
      </c>
      <c r="E167" s="34" t="inlineStr">
        <is>
          <t>Editor + build PC</t>
        </is>
      </c>
      <c r="F167" s="34" t="inlineStr">
        <is>
          <t>Limpeza</t>
        </is>
      </c>
    </row>
    <row r="168">
      <c r="A168" s="46" t="inlineStr">
        <is>
          <t>27</t>
        </is>
      </c>
      <c r="B168" s="34" t="inlineStr">
        <is>
          <t>[FEITO 2026-10-17, R58] Decidir M-U: manter o v1.11.2 (sem controles pass-through) ou adicionar os 19 controles do v1.9 - decidido: adicionar; 18+1 verificados no registro</t>
        </is>
      </c>
      <c r="C168" s="46" t="inlineStr">
        <is>
          <t>Fechado</t>
        </is>
      </c>
      <c r="D168" s="48" t="inlineStr">
        <is>
          <t>Você</t>
        </is>
      </c>
      <c r="E168" s="34" t="inlineStr">
        <is>
          <t>—</t>
        </is>
      </c>
      <c r="F168" s="34" t="inlineStr">
        <is>
          <t>M-U</t>
        </is>
      </c>
    </row>
    <row r="169">
      <c r="A169" s="46" t="inlineStr">
        <is>
          <t>28</t>
        </is>
      </c>
      <c r="B169" s="34" t="inlineStr">
        <is>
          <t>[FEITO 2026-10-17, R58] OK para reiniciar o MIDIServer e testar o plug-in MIDI de referência (interrompe o MIDI de apps abertos) - plug-in instalado e carregando; falta o loopback com cabo</t>
        </is>
      </c>
      <c r="C169" s="46" t="inlineStr">
        <is>
          <t>Média</t>
        </is>
      </c>
      <c r="D169" s="48" t="inlineStr">
        <is>
          <t>Você</t>
        </is>
      </c>
      <c r="E169" s="34" t="inlineStr">
        <is>
          <t>—</t>
        </is>
      </c>
      <c r="F169" s="34" t="inlineStr">
        <is>
          <t>M-V / M-H2</t>
        </is>
      </c>
    </row>
    <row r="170">
      <c r="A170" s="46" t="inlineStr">
        <is>
          <t>29</t>
        </is>
      </c>
      <c r="B170" s="34" t="inlineStr">
        <is>
          <t>Kext instalado em /Library/Extensions é o build M-A de 15/10; instalar o atual só depois da escada (stage + kextutil -t -n antes)</t>
        </is>
      </c>
      <c r="C170" s="46" t="inlineStr">
        <is>
          <t>Média</t>
        </is>
      </c>
      <c r="D170" s="48" t="inlineStr">
        <is>
          <t>Claude + Você</t>
        </is>
      </c>
      <c r="E170" s="34" t="inlineStr">
        <is>
          <t>scripts/stage-kext.sh + install.sh</t>
        </is>
      </c>
      <c r="F170" s="34" t="inlineStr">
        <is>
          <t>IN.5</t>
        </is>
      </c>
    </row>
    <row r="171">
      <c r="A171" s="46" t="inlineStr">
        <is>
          <t>30</t>
        </is>
      </c>
      <c r="B171" s="34" t="inlineStr">
        <is>
          <t>[FEITO 2026-10-17] Lista de taxas do painel (fixa, 6) vs lista do CoreAudio por modo digital (P8 §10) - implementado (availableRates); falta observar ao trocar o modo digital</t>
        </is>
      </c>
      <c r="C171" s="46" t="inlineStr">
        <is>
          <t>Baixa</t>
        </is>
      </c>
      <c r="D171" s="48" t="inlineStr">
        <is>
          <t>Claude</t>
        </is>
      </c>
      <c r="E171" s="34" t="inlineStr">
        <is>
          <t>Painel + CoreAudio AvailableNominalSampleRates</t>
        </is>
      </c>
      <c r="F171" s="34" t="inlineStr">
        <is>
          <t>PN.5</t>
        </is>
      </c>
    </row>
    <row r="172">
      <c r="A172" s="46" t="inlineStr">
        <is>
          <t>31</t>
        </is>
      </c>
      <c r="B172" s="34" t="inlineStr">
        <is>
          <t>MIDI em hardware: cabo DIN OUT-&gt;IN no 1814; tools/midiprobe loop 0 5 e SysEx de ida e volta; depois sleep/wake. Re-testar 'Show MIDI Studio' no AMS com o plug-in instalado.</t>
        </is>
      </c>
      <c r="C172" s="46" t="inlineStr">
        <is>
          <t>Alta</t>
        </is>
      </c>
      <c r="D172" s="48" t="inlineStr">
        <is>
          <t>Claude + Você (cabo)</t>
        </is>
      </c>
      <c r="E172" s="34" t="inlineStr">
        <is>
          <t>midiprobe + CoreMIDI</t>
        </is>
      </c>
      <c r="F172" s="34" t="inlineStr">
        <is>
          <t>M-H / M-H2 / M-V</t>
        </is>
      </c>
    </row>
  </sheetData>
  <mergeCells count="104">
    <mergeCell ref="K98"/>
    <mergeCell ref="E144"/>
    <mergeCell ref="K73"/>
    <mergeCell ref="K82"/>
    <mergeCell ref="D13:L15"/>
    <mergeCell ref="K66"/>
    <mergeCell ref="K137"/>
    <mergeCell ref="K124"/>
    <mergeCell ref="K121"/>
    <mergeCell ref="K74"/>
    <mergeCell ref="K68"/>
    <mergeCell ref="K108"/>
    <mergeCell ref="E151"/>
    <mergeCell ref="K123"/>
    <mergeCell ref="K110"/>
    <mergeCell ref="D6:G6"/>
    <mergeCell ref="K91"/>
    <mergeCell ref="K100"/>
    <mergeCell ref="K94"/>
    <mergeCell ref="K109"/>
    <mergeCell ref="E143"/>
    <mergeCell ref="K75"/>
    <mergeCell ref="K84"/>
    <mergeCell ref="K102"/>
    <mergeCell ref="E149"/>
    <mergeCell ref="K111"/>
    <mergeCell ref="A36:L36"/>
    <mergeCell ref="K86"/>
    <mergeCell ref="K136"/>
    <mergeCell ref="K70"/>
    <mergeCell ref="K97"/>
    <mergeCell ref="K112"/>
    <mergeCell ref="K65"/>
    <mergeCell ref="K62"/>
    <mergeCell ref="K128"/>
    <mergeCell ref="E145"/>
    <mergeCell ref="K104"/>
    <mergeCell ref="K113"/>
    <mergeCell ref="A4:L4"/>
    <mergeCell ref="K114"/>
    <mergeCell ref="D9:L11"/>
    <mergeCell ref="K129"/>
    <mergeCell ref="E153"/>
    <mergeCell ref="K138"/>
    <mergeCell ref="K76"/>
    <mergeCell ref="K90"/>
    <mergeCell ref="K85"/>
    <mergeCell ref="K99"/>
    <mergeCell ref="K131"/>
    <mergeCell ref="K67"/>
    <mergeCell ref="K115"/>
    <mergeCell ref="K130"/>
    <mergeCell ref="K77"/>
    <mergeCell ref="K117"/>
    <mergeCell ref="K61"/>
    <mergeCell ref="K132"/>
    <mergeCell ref="K116"/>
    <mergeCell ref="K125"/>
    <mergeCell ref="K103"/>
    <mergeCell ref="A2:L2"/>
    <mergeCell ref="K78"/>
    <mergeCell ref="K118"/>
    <mergeCell ref="K87"/>
    <mergeCell ref="K127"/>
    <mergeCell ref="D12:L12"/>
    <mergeCell ref="K80"/>
    <mergeCell ref="K95"/>
    <mergeCell ref="K89"/>
    <mergeCell ref="E142"/>
    <mergeCell ref="A20:L20"/>
    <mergeCell ref="K64"/>
    <mergeCell ref="K79"/>
    <mergeCell ref="K88"/>
    <mergeCell ref="E147"/>
    <mergeCell ref="K63"/>
    <mergeCell ref="K72"/>
    <mergeCell ref="K134"/>
    <mergeCell ref="K81"/>
    <mergeCell ref="A59:L59"/>
    <mergeCell ref="H5:H6"/>
    <mergeCell ref="K105"/>
    <mergeCell ref="E148"/>
    <mergeCell ref="K120"/>
    <mergeCell ref="K107"/>
    <mergeCell ref="D5:G5"/>
    <mergeCell ref="K101"/>
    <mergeCell ref="K93"/>
    <mergeCell ref="E146"/>
    <mergeCell ref="K69"/>
    <mergeCell ref="K83"/>
    <mergeCell ref="K92"/>
    <mergeCell ref="D8:L8"/>
    <mergeCell ref="K133"/>
    <mergeCell ref="A140:L140"/>
    <mergeCell ref="E150"/>
    <mergeCell ref="A19:L19"/>
    <mergeCell ref="K126"/>
    <mergeCell ref="K135"/>
    <mergeCell ref="K122"/>
    <mergeCell ref="E152"/>
    <mergeCell ref="K119"/>
    <mergeCell ref="K106"/>
    <mergeCell ref="K96"/>
    <mergeCell ref="K71"/>
  </mergeCells>
  <conditionalFormatting sqref="D22:D34">
    <cfRule type="dataBar" priority="1">
      <dataBar>
        <cfvo type="num" val="0"/>
        <cfvo type="num" val="1"/>
        <color rgb="005B9BD5"/>
      </dataBar>
    </cfRule>
  </conditionalFormatting>
  <conditionalFormatting sqref="C22:C34">
    <cfRule type="cellIs" priority="2" operator="equal" dxfId="9">
      <formula>"Concluído"</formula>
    </cfRule>
    <cfRule type="cellIs" priority="3" operator="equal" dxfId="10">
      <formula>"Em andamento"</formula>
    </cfRule>
    <cfRule type="cellIs" priority="4" operator="equal" dxfId="10">
      <formula>"Em correção"</formula>
    </cfRule>
    <cfRule type="cellIs" priority="5" operator="equal" dxfId="10">
      <formula>"Parcial"</formula>
    </cfRule>
    <cfRule type="cellIs" priority="6" operator="equal" dxfId="11">
      <formula>"Bloqueado"</formula>
    </cfRule>
    <cfRule type="cellIs" priority="7" operator="equal" dxfId="12">
      <formula>"Não iniciado"</formula>
    </cfRule>
  </conditionalFormatting>
  <conditionalFormatting sqref="D38:D57">
    <cfRule type="dataBar" priority="8">
      <dataBar>
        <cfvo type="num" val="0"/>
        <cfvo type="num" val="1"/>
        <color rgb="005B9BD5"/>
      </dataBar>
    </cfRule>
  </conditionalFormatting>
  <conditionalFormatting sqref="C38:C57">
    <cfRule type="cellIs" priority="9" operator="equal" dxfId="9">
      <formula>"Fechado"</formula>
    </cfRule>
    <cfRule type="cellIs" priority="10" operator="equal" dxfId="9">
      <formula>"Em dia"</formula>
    </cfRule>
    <cfRule type="cellIs" priority="11" operator="equal" dxfId="10">
      <formula>"Parcial"</formula>
    </cfRule>
    <cfRule type="cellIs" priority="12" operator="equal" dxfId="11">
      <formula>"Com pendência"</formula>
    </cfRule>
  </conditionalFormatting>
  <conditionalFormatting sqref="D61:D138">
    <cfRule type="dataBar" priority="13">
      <dataBar>
        <cfvo type="num" val="0"/>
        <cfvo type="num" val="1"/>
        <color rgb="005B9BD5"/>
      </dataBar>
    </cfRule>
  </conditionalFormatting>
  <conditionalFormatting sqref="C61:C138">
    <cfRule type="cellIs" priority="14" operator="equal" dxfId="9">
      <formula>"Fechado"</formula>
    </cfRule>
    <cfRule type="cellIs" priority="15" operator="equal" dxfId="9">
      <formula>"Em dia"</formula>
    </cfRule>
    <cfRule type="cellIs" priority="16" operator="equal" dxfId="10">
      <formula>"Parcial"</formula>
    </cfRule>
    <cfRule type="cellIs" priority="17" operator="equal" dxfId="11">
      <formula>"Com pendência"</formula>
    </cfRule>
  </conditionalFormatting>
  <conditionalFormatting sqref="C142:C153">
    <cfRule type="cellIs" priority="18" operator="equal" dxfId="11">
      <formula>"Alta"</formula>
    </cfRule>
    <cfRule type="cellIs" priority="19" operator="equal" dxfId="10">
      <formula>"Média"</formula>
    </cfRule>
    <cfRule type="cellIs" priority="20" operator="equal" dxfId="9">
      <formula>"Baixa"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51" min="1" max="1"/>
    <col width="34" customWidth="1" style="51" min="2" max="2"/>
    <col width="13" customWidth="1" style="51" min="3" max="10"/>
  </cols>
  <sheetData>
    <row r="1" ht="16.15" customHeight="1" s="21">
      <c r="A1" s="52" t="inlineStr">
        <is>
          <t>Matriz de proveniência — system-map FW1814 (2026-10-14)</t>
        </is>
      </c>
    </row>
    <row r="2" ht="15" customHeight="1" s="21">
      <c r="A2" s="53" t="inlineStr">
        <is>
          <t>Tudo nesta aba é fórmula sobre as abas Itens e Flags_auditoria.</t>
        </is>
      </c>
    </row>
    <row r="3"/>
    <row r="4" ht="30" customHeight="1" s="21">
      <c r="A4" s="54" t="inlineStr">
        <is>
          <t>Parte</t>
        </is>
      </c>
      <c r="B4" s="54" t="inlineStr">
        <is>
          <t>Itens</t>
        </is>
      </c>
      <c r="C4" s="54" t="inlineStr">
        <is>
          <t>Confiança média</t>
        </is>
      </c>
      <c r="D4" s="54" t="inlineStr">
        <is>
          <t>Byte-level = Sim</t>
        </is>
      </c>
      <c r="E4" s="54" t="inlineStr">
        <is>
          <t>Hardware live = Sim</t>
        </is>
      </c>
      <c r="F4" s="54" t="inlineStr">
        <is>
          <t>Especulativo = Sim</t>
        </is>
      </c>
      <c r="G4" s="54" t="inlineStr">
        <is>
          <t>Correção pendente</t>
        </is>
      </c>
      <c r="H4" s="54" t="inlineStr">
        <is>
          <t>Aberto</t>
        </is>
      </c>
      <c r="I4" s="54" t="inlineStr">
        <is>
          <t>Confiança ≤ 3</t>
        </is>
      </c>
      <c r="J4" s="54" t="inlineStr">
        <is>
          <t>Confiança ≥ 7</t>
        </is>
      </c>
    </row>
    <row r="5" ht="15" customHeight="1" s="21">
      <c r="A5" s="55" t="inlineStr">
        <is>
          <t>A1</t>
        </is>
      </c>
      <c r="B5" s="56">
        <f>COUNTIF(Itens!$B$2:$B$132,A5)</f>
        <v/>
      </c>
      <c r="C5" s="57">
        <f>IFERROR(AVERAGEIF(Itens!$B$2:$B$132,A5,Itens!$L$2:$L$132),0)</f>
        <v/>
      </c>
      <c r="D5" s="56">
        <f>COUNTIFS(Itens!$B$2:$B$132,A5,Itens!$E$2:$E$132,"Sim")</f>
        <v/>
      </c>
      <c r="E5" s="56">
        <f>COUNTIFS(Itens!$B$2:$B$132,A5,Itens!$F$2:$F$132,"Sim")</f>
        <v/>
      </c>
      <c r="F5" s="56">
        <f>COUNTIFS(Itens!$B$2:$B$132,A5,Itens!$H$2:$H$132,"Sim")</f>
        <v/>
      </c>
      <c r="G5" s="56">
        <f>COUNTIFS(Itens!$B$2:$B$132,A5,Itens!$K$2:$K$132,"Correção pendente (audit)")</f>
        <v/>
      </c>
      <c r="H5" s="56">
        <f>COUNTIFS(Itens!$B$2:$B$132,A5,Itens!$K$2:$K$132,"Aberto / não resolvido")</f>
        <v/>
      </c>
      <c r="I5" s="56">
        <f>COUNTIFS(Itens!$B$2:$B$132,A5,Itens!$L$2:$L$132,"&lt;=3")</f>
        <v/>
      </c>
      <c r="J5" s="56">
        <f>COUNTIFS(Itens!$B$2:$B$132,A5,Itens!$L$2:$L$132,"&gt;=7")</f>
        <v/>
      </c>
    </row>
    <row r="6" ht="15" customHeight="1" s="21">
      <c r="A6" s="55" t="inlineStr">
        <is>
          <t>A2</t>
        </is>
      </c>
      <c r="B6" s="56">
        <f>COUNTIF(Itens!$B$2:$B$132,A6)</f>
        <v/>
      </c>
      <c r="C6" s="57">
        <f>IFERROR(AVERAGEIF(Itens!$B$2:$B$132,A6,Itens!$L$2:$L$132),0)</f>
        <v/>
      </c>
      <c r="D6" s="56">
        <f>COUNTIFS(Itens!$B$2:$B$132,A6,Itens!$E$2:$E$132,"Sim")</f>
        <v/>
      </c>
      <c r="E6" s="56">
        <f>COUNTIFS(Itens!$B$2:$B$132,A6,Itens!$F$2:$F$132,"Sim")</f>
        <v/>
      </c>
      <c r="F6" s="56">
        <f>COUNTIFS(Itens!$B$2:$B$132,A6,Itens!$H$2:$H$132,"Sim")</f>
        <v/>
      </c>
      <c r="G6" s="56">
        <f>COUNTIFS(Itens!$B$2:$B$132,A6,Itens!$K$2:$K$132,"Correção pendente (audit)")</f>
        <v/>
      </c>
      <c r="H6" s="56">
        <f>COUNTIFS(Itens!$B$2:$B$132,A6,Itens!$K$2:$K$132,"Aberto / não resolvido")</f>
        <v/>
      </c>
      <c r="I6" s="56">
        <f>COUNTIFS(Itens!$B$2:$B$132,A6,Itens!$L$2:$L$132,"&lt;=3")</f>
        <v/>
      </c>
      <c r="J6" s="56">
        <f>COUNTIFS(Itens!$B$2:$B$132,A6,Itens!$L$2:$L$132,"&gt;=7")</f>
        <v/>
      </c>
    </row>
    <row r="7" ht="15" customHeight="1" s="21">
      <c r="A7" s="55" t="inlineStr">
        <is>
          <t>A3</t>
        </is>
      </c>
      <c r="B7" s="56">
        <f>COUNTIF(Itens!$B$2:$B$132,A7)</f>
        <v/>
      </c>
      <c r="C7" s="57">
        <f>IFERROR(AVERAGEIF(Itens!$B$2:$B$132,A7,Itens!$L$2:$L$132),0)</f>
        <v/>
      </c>
      <c r="D7" s="56">
        <f>COUNTIFS(Itens!$B$2:$B$132,A7,Itens!$E$2:$E$132,"Sim")</f>
        <v/>
      </c>
      <c r="E7" s="56">
        <f>COUNTIFS(Itens!$B$2:$B$132,A7,Itens!$F$2:$F$132,"Sim")</f>
        <v/>
      </c>
      <c r="F7" s="56">
        <f>COUNTIFS(Itens!$B$2:$B$132,A7,Itens!$H$2:$H$132,"Sim")</f>
        <v/>
      </c>
      <c r="G7" s="56">
        <f>COUNTIFS(Itens!$B$2:$B$132,A7,Itens!$K$2:$K$132,"Correção pendente (audit)")</f>
        <v/>
      </c>
      <c r="H7" s="56">
        <f>COUNTIFS(Itens!$B$2:$B$132,A7,Itens!$K$2:$K$132,"Aberto / não resolvido")</f>
        <v/>
      </c>
      <c r="I7" s="56">
        <f>COUNTIFS(Itens!$B$2:$B$132,A7,Itens!$L$2:$L$132,"&lt;=3")</f>
        <v/>
      </c>
      <c r="J7" s="56">
        <f>COUNTIFS(Itens!$B$2:$B$132,A7,Itens!$L$2:$L$132,"&gt;=7")</f>
        <v/>
      </c>
    </row>
    <row r="8" ht="15" customHeight="1" s="21">
      <c r="A8" s="55" t="inlineStr">
        <is>
          <t>A4</t>
        </is>
      </c>
      <c r="B8" s="56">
        <f>COUNTIF(Itens!$B$2:$B$132,A8)</f>
        <v/>
      </c>
      <c r="C8" s="57">
        <f>IFERROR(AVERAGEIF(Itens!$B$2:$B$132,A8,Itens!$L$2:$L$132),0)</f>
        <v/>
      </c>
      <c r="D8" s="56">
        <f>COUNTIFS(Itens!$B$2:$B$132,A8,Itens!$E$2:$E$132,"Sim")</f>
        <v/>
      </c>
      <c r="E8" s="56">
        <f>COUNTIFS(Itens!$B$2:$B$132,A8,Itens!$F$2:$F$132,"Sim")</f>
        <v/>
      </c>
      <c r="F8" s="56">
        <f>COUNTIFS(Itens!$B$2:$B$132,A8,Itens!$H$2:$H$132,"Sim")</f>
        <v/>
      </c>
      <c r="G8" s="56">
        <f>COUNTIFS(Itens!$B$2:$B$132,A8,Itens!$K$2:$K$132,"Correção pendente (audit)")</f>
        <v/>
      </c>
      <c r="H8" s="56">
        <f>COUNTIFS(Itens!$B$2:$B$132,A8,Itens!$K$2:$K$132,"Aberto / não resolvido")</f>
        <v/>
      </c>
      <c r="I8" s="56">
        <f>COUNTIFS(Itens!$B$2:$B$132,A8,Itens!$L$2:$L$132,"&lt;=3")</f>
        <v/>
      </c>
      <c r="J8" s="56">
        <f>COUNTIFS(Itens!$B$2:$B$132,A8,Itens!$L$2:$L$132,"&gt;=7")</f>
        <v/>
      </c>
    </row>
    <row r="9" ht="15" customHeight="1" s="21">
      <c r="A9" s="55" t="inlineStr">
        <is>
          <t>A5</t>
        </is>
      </c>
      <c r="B9" s="56">
        <f>COUNTIF(Itens!$B$2:$B$132,A9)</f>
        <v/>
      </c>
      <c r="C9" s="57">
        <f>IFERROR(AVERAGEIF(Itens!$B$2:$B$132,A9,Itens!$L$2:$L$132),0)</f>
        <v/>
      </c>
      <c r="D9" s="56">
        <f>COUNTIFS(Itens!$B$2:$B$132,A9,Itens!$E$2:$E$132,"Sim")</f>
        <v/>
      </c>
      <c r="E9" s="56">
        <f>COUNTIFS(Itens!$B$2:$B$132,A9,Itens!$F$2:$F$132,"Sim")</f>
        <v/>
      </c>
      <c r="F9" s="56">
        <f>COUNTIFS(Itens!$B$2:$B$132,A9,Itens!$H$2:$H$132,"Sim")</f>
        <v/>
      </c>
      <c r="G9" s="56">
        <f>COUNTIFS(Itens!$B$2:$B$132,A9,Itens!$K$2:$K$132,"Correção pendente (audit)")</f>
        <v/>
      </c>
      <c r="H9" s="56">
        <f>COUNTIFS(Itens!$B$2:$B$132,A9,Itens!$K$2:$K$132,"Aberto / não resolvido")</f>
        <v/>
      </c>
      <c r="I9" s="56">
        <f>COUNTIFS(Itens!$B$2:$B$132,A9,Itens!$L$2:$L$132,"&lt;=3")</f>
        <v/>
      </c>
      <c r="J9" s="56">
        <f>COUNTIFS(Itens!$B$2:$B$132,A9,Itens!$L$2:$L$132,"&gt;=7")</f>
        <v/>
      </c>
    </row>
    <row r="10" ht="15" customHeight="1" s="21">
      <c r="A10" s="55" t="inlineStr">
        <is>
          <t>A6</t>
        </is>
      </c>
      <c r="B10" s="56">
        <f>COUNTIF(Itens!$B$2:$B$132,A10)</f>
        <v/>
      </c>
      <c r="C10" s="57">
        <f>IFERROR(AVERAGEIF(Itens!$B$2:$B$132,A10,Itens!$L$2:$L$132),0)</f>
        <v/>
      </c>
      <c r="D10" s="56">
        <f>COUNTIFS(Itens!$B$2:$B$132,A10,Itens!$E$2:$E$132,"Sim")</f>
        <v/>
      </c>
      <c r="E10" s="56">
        <f>COUNTIFS(Itens!$B$2:$B$132,A10,Itens!$F$2:$F$132,"Sim")</f>
        <v/>
      </c>
      <c r="F10" s="56">
        <f>COUNTIFS(Itens!$B$2:$B$132,A10,Itens!$H$2:$H$132,"Sim")</f>
        <v/>
      </c>
      <c r="G10" s="56">
        <f>COUNTIFS(Itens!$B$2:$B$132,A10,Itens!$K$2:$K$132,"Correção pendente (audit)")</f>
        <v/>
      </c>
      <c r="H10" s="56">
        <f>COUNTIFS(Itens!$B$2:$B$132,A10,Itens!$K$2:$K$132,"Aberto / não resolvido")</f>
        <v/>
      </c>
      <c r="I10" s="56">
        <f>COUNTIFS(Itens!$B$2:$B$132,A10,Itens!$L$2:$L$132,"&lt;=3")</f>
        <v/>
      </c>
      <c r="J10" s="56">
        <f>COUNTIFS(Itens!$B$2:$B$132,A10,Itens!$L$2:$L$132,"&gt;=7")</f>
        <v/>
      </c>
    </row>
    <row r="11" ht="15" customHeight="1" s="21">
      <c r="A11" s="55" t="inlineStr">
        <is>
          <t>B1</t>
        </is>
      </c>
      <c r="B11" s="56">
        <f>COUNTIF(Itens!$B$2:$B$132,A11)</f>
        <v/>
      </c>
      <c r="C11" s="57">
        <f>IFERROR(AVERAGEIF(Itens!$B$2:$B$132,A11,Itens!$L$2:$L$132),0)</f>
        <v/>
      </c>
      <c r="D11" s="56">
        <f>COUNTIFS(Itens!$B$2:$B$132,A11,Itens!$E$2:$E$132,"Sim")</f>
        <v/>
      </c>
      <c r="E11" s="56">
        <f>COUNTIFS(Itens!$B$2:$B$132,A11,Itens!$F$2:$F$132,"Sim")</f>
        <v/>
      </c>
      <c r="F11" s="56">
        <f>COUNTIFS(Itens!$B$2:$B$132,A11,Itens!$H$2:$H$132,"Sim")</f>
        <v/>
      </c>
      <c r="G11" s="56">
        <f>COUNTIFS(Itens!$B$2:$B$132,A11,Itens!$K$2:$K$132,"Correção pendente (audit)")</f>
        <v/>
      </c>
      <c r="H11" s="56">
        <f>COUNTIFS(Itens!$B$2:$B$132,A11,Itens!$K$2:$K$132,"Aberto / não resolvido")</f>
        <v/>
      </c>
      <c r="I11" s="56">
        <f>COUNTIFS(Itens!$B$2:$B$132,A11,Itens!$L$2:$L$132,"&lt;=3")</f>
        <v/>
      </c>
      <c r="J11" s="56">
        <f>COUNTIFS(Itens!$B$2:$B$132,A11,Itens!$L$2:$L$132,"&gt;=7")</f>
        <v/>
      </c>
    </row>
    <row r="12" ht="15" customHeight="1" s="21">
      <c r="A12" s="55" t="inlineStr">
        <is>
          <t>B2</t>
        </is>
      </c>
      <c r="B12" s="56">
        <f>COUNTIF(Itens!$B$2:$B$132,A12)</f>
        <v/>
      </c>
      <c r="C12" s="57">
        <f>IFERROR(AVERAGEIF(Itens!$B$2:$B$132,A12,Itens!$L$2:$L$132),0)</f>
        <v/>
      </c>
      <c r="D12" s="56">
        <f>COUNTIFS(Itens!$B$2:$B$132,A12,Itens!$E$2:$E$132,"Sim")</f>
        <v/>
      </c>
      <c r="E12" s="56">
        <f>COUNTIFS(Itens!$B$2:$B$132,A12,Itens!$F$2:$F$132,"Sim")</f>
        <v/>
      </c>
      <c r="F12" s="56">
        <f>COUNTIFS(Itens!$B$2:$B$132,A12,Itens!$H$2:$H$132,"Sim")</f>
        <v/>
      </c>
      <c r="G12" s="56">
        <f>COUNTIFS(Itens!$B$2:$B$132,A12,Itens!$K$2:$K$132,"Correção pendente (audit)")</f>
        <v/>
      </c>
      <c r="H12" s="56">
        <f>COUNTIFS(Itens!$B$2:$B$132,A12,Itens!$K$2:$K$132,"Aberto / não resolvido")</f>
        <v/>
      </c>
      <c r="I12" s="56">
        <f>COUNTIFS(Itens!$B$2:$B$132,A12,Itens!$L$2:$L$132,"&lt;=3")</f>
        <v/>
      </c>
      <c r="J12" s="56">
        <f>COUNTIFS(Itens!$B$2:$B$132,A12,Itens!$L$2:$L$132,"&gt;=7")</f>
        <v/>
      </c>
    </row>
    <row r="13" ht="15" customHeight="1" s="21">
      <c r="A13" s="55" t="inlineStr">
        <is>
          <t>B2a</t>
        </is>
      </c>
      <c r="B13" s="56">
        <f>COUNTIF(Itens!$B$2:$B$132,A13)</f>
        <v/>
      </c>
      <c r="C13" s="57">
        <f>IFERROR(AVERAGEIF(Itens!$B$2:$B$132,A13,Itens!$L$2:$L$132),0)</f>
        <v/>
      </c>
      <c r="D13" s="56">
        <f>COUNTIFS(Itens!$B$2:$B$132,A13,Itens!$E$2:$E$132,"Sim")</f>
        <v/>
      </c>
      <c r="E13" s="56">
        <f>COUNTIFS(Itens!$B$2:$B$132,A13,Itens!$F$2:$F$132,"Sim")</f>
        <v/>
      </c>
      <c r="F13" s="56">
        <f>COUNTIFS(Itens!$B$2:$B$132,A13,Itens!$H$2:$H$132,"Sim")</f>
        <v/>
      </c>
      <c r="G13" s="56">
        <f>COUNTIFS(Itens!$B$2:$B$132,A13,Itens!$K$2:$K$132,"Correção pendente (audit)")</f>
        <v/>
      </c>
      <c r="H13" s="56">
        <f>COUNTIFS(Itens!$B$2:$B$132,A13,Itens!$K$2:$K$132,"Aberto / não resolvido")</f>
        <v/>
      </c>
      <c r="I13" s="56">
        <f>COUNTIFS(Itens!$B$2:$B$132,A13,Itens!$L$2:$L$132,"&lt;=3")</f>
        <v/>
      </c>
      <c r="J13" s="56">
        <f>COUNTIFS(Itens!$B$2:$B$132,A13,Itens!$L$2:$L$132,"&gt;=7")</f>
        <v/>
      </c>
    </row>
    <row r="14" ht="15" customHeight="1" s="21">
      <c r="A14" s="55" t="inlineStr">
        <is>
          <t>B3</t>
        </is>
      </c>
      <c r="B14" s="56">
        <f>COUNTIF(Itens!$B$2:$B$132,A14)</f>
        <v/>
      </c>
      <c r="C14" s="57">
        <f>IFERROR(AVERAGEIF(Itens!$B$2:$B$132,A14,Itens!$L$2:$L$132),0)</f>
        <v/>
      </c>
      <c r="D14" s="56">
        <f>COUNTIFS(Itens!$B$2:$B$132,A14,Itens!$E$2:$E$132,"Sim")</f>
        <v/>
      </c>
      <c r="E14" s="56">
        <f>COUNTIFS(Itens!$B$2:$B$132,A14,Itens!$F$2:$F$132,"Sim")</f>
        <v/>
      </c>
      <c r="F14" s="56">
        <f>COUNTIFS(Itens!$B$2:$B$132,A14,Itens!$H$2:$H$132,"Sim")</f>
        <v/>
      </c>
      <c r="G14" s="56">
        <f>COUNTIFS(Itens!$B$2:$B$132,A14,Itens!$K$2:$K$132,"Correção pendente (audit)")</f>
        <v/>
      </c>
      <c r="H14" s="56">
        <f>COUNTIFS(Itens!$B$2:$B$132,A14,Itens!$K$2:$K$132,"Aberto / não resolvido")</f>
        <v/>
      </c>
      <c r="I14" s="56">
        <f>COUNTIFS(Itens!$B$2:$B$132,A14,Itens!$L$2:$L$132,"&lt;=3")</f>
        <v/>
      </c>
      <c r="J14" s="56">
        <f>COUNTIFS(Itens!$B$2:$B$132,A14,Itens!$L$2:$L$132,"&gt;=7")</f>
        <v/>
      </c>
    </row>
    <row r="15" ht="15" customHeight="1" s="21">
      <c r="A15" s="55" t="inlineStr">
        <is>
          <t>B4</t>
        </is>
      </c>
      <c r="B15" s="56">
        <f>COUNTIF(Itens!$B$2:$B$132,A15)</f>
        <v/>
      </c>
      <c r="C15" s="57">
        <f>IFERROR(AVERAGEIF(Itens!$B$2:$B$132,A15,Itens!$L$2:$L$132),0)</f>
        <v/>
      </c>
      <c r="D15" s="56">
        <f>COUNTIFS(Itens!$B$2:$B$132,A15,Itens!$E$2:$E$132,"Sim")</f>
        <v/>
      </c>
      <c r="E15" s="56">
        <f>COUNTIFS(Itens!$B$2:$B$132,A15,Itens!$F$2:$F$132,"Sim")</f>
        <v/>
      </c>
      <c r="F15" s="56">
        <f>COUNTIFS(Itens!$B$2:$B$132,A15,Itens!$H$2:$H$132,"Sim")</f>
        <v/>
      </c>
      <c r="G15" s="56">
        <f>COUNTIFS(Itens!$B$2:$B$132,A15,Itens!$K$2:$K$132,"Correção pendente (audit)")</f>
        <v/>
      </c>
      <c r="H15" s="56">
        <f>COUNTIFS(Itens!$B$2:$B$132,A15,Itens!$K$2:$K$132,"Aberto / não resolvido")</f>
        <v/>
      </c>
      <c r="I15" s="56">
        <f>COUNTIFS(Itens!$B$2:$B$132,A15,Itens!$L$2:$L$132,"&lt;=3")</f>
        <v/>
      </c>
      <c r="J15" s="56">
        <f>COUNTIFS(Itens!$B$2:$B$132,A15,Itens!$L$2:$L$132,"&gt;=7")</f>
        <v/>
      </c>
    </row>
    <row r="16" ht="15" customHeight="1" s="21">
      <c r="A16" s="55" t="inlineStr">
        <is>
          <t>B5</t>
        </is>
      </c>
      <c r="B16" s="56">
        <f>COUNTIF(Itens!$B$2:$B$132,A16)</f>
        <v/>
      </c>
      <c r="C16" s="57">
        <f>IFERROR(AVERAGEIF(Itens!$B$2:$B$132,A16,Itens!$L$2:$L$132),0)</f>
        <v/>
      </c>
      <c r="D16" s="56">
        <f>COUNTIFS(Itens!$B$2:$B$132,A16,Itens!$E$2:$E$132,"Sim")</f>
        <v/>
      </c>
      <c r="E16" s="56">
        <f>COUNTIFS(Itens!$B$2:$B$132,A16,Itens!$F$2:$F$132,"Sim")</f>
        <v/>
      </c>
      <c r="F16" s="56">
        <f>COUNTIFS(Itens!$B$2:$B$132,A16,Itens!$H$2:$H$132,"Sim")</f>
        <v/>
      </c>
      <c r="G16" s="56">
        <f>COUNTIFS(Itens!$B$2:$B$132,A16,Itens!$K$2:$K$132,"Correção pendente (audit)")</f>
        <v/>
      </c>
      <c r="H16" s="56">
        <f>COUNTIFS(Itens!$B$2:$B$132,A16,Itens!$K$2:$K$132,"Aberto / não resolvido")</f>
        <v/>
      </c>
      <c r="I16" s="56">
        <f>COUNTIFS(Itens!$B$2:$B$132,A16,Itens!$L$2:$L$132,"&lt;=3")</f>
        <v/>
      </c>
      <c r="J16" s="56">
        <f>COUNTIFS(Itens!$B$2:$B$132,A16,Itens!$L$2:$L$132,"&gt;=7")</f>
        <v/>
      </c>
    </row>
    <row r="17" ht="15" customHeight="1" s="21">
      <c r="A17" s="55" t="inlineStr">
        <is>
          <t>STATE</t>
        </is>
      </c>
      <c r="B17" s="56">
        <f>COUNTIF(Itens!$B$2:$B$132,A17)</f>
        <v/>
      </c>
      <c r="C17" s="57">
        <f>IFERROR(AVERAGEIF(Itens!$B$2:$B$132,A17,Itens!$L$2:$L$132),0)</f>
        <v/>
      </c>
      <c r="D17" s="56">
        <f>COUNTIFS(Itens!$B$2:$B$132,A17,Itens!$E$2:$E$132,"Sim")</f>
        <v/>
      </c>
      <c r="E17" s="56">
        <f>COUNTIFS(Itens!$B$2:$B$132,A17,Itens!$F$2:$F$132,"Sim")</f>
        <v/>
      </c>
      <c r="F17" s="56">
        <f>COUNTIFS(Itens!$B$2:$B$132,A17,Itens!$H$2:$H$132,"Sim")</f>
        <v/>
      </c>
      <c r="G17" s="56">
        <f>COUNTIFS(Itens!$B$2:$B$132,A17,Itens!$K$2:$K$132,"Correção pendente (audit)")</f>
        <v/>
      </c>
      <c r="H17" s="56">
        <f>COUNTIFS(Itens!$B$2:$B$132,A17,Itens!$K$2:$K$132,"Aberto / não resolvido")</f>
        <v/>
      </c>
      <c r="I17" s="56">
        <f>COUNTIFS(Itens!$B$2:$B$132,A17,Itens!$L$2:$L$132,"&lt;=3")</f>
        <v/>
      </c>
      <c r="J17" s="56">
        <f>COUNTIFS(Itens!$B$2:$B$132,A17,Itens!$L$2:$L$132,"&gt;=7")</f>
        <v/>
      </c>
    </row>
    <row r="18" ht="15" customHeight="1" s="21">
      <c r="A18" s="55" t="inlineStr">
        <is>
          <t>C1</t>
        </is>
      </c>
      <c r="B18" s="56">
        <f>COUNTIF(Itens!$B$2:$B$132,A18)</f>
        <v/>
      </c>
      <c r="C18" s="57">
        <f>IFERROR(AVERAGEIF(Itens!$B$2:$B$132,A18,Itens!$L$2:$L$132),0)</f>
        <v/>
      </c>
      <c r="D18" s="56">
        <f>COUNTIFS(Itens!$B$2:$B$132,A18,Itens!$E$2:$E$132,"Sim")</f>
        <v/>
      </c>
      <c r="E18" s="56">
        <f>COUNTIFS(Itens!$B$2:$B$132,A18,Itens!$F$2:$F$132,"Sim")</f>
        <v/>
      </c>
      <c r="F18" s="56">
        <f>COUNTIFS(Itens!$B$2:$B$132,A18,Itens!$H$2:$H$132,"Sim")</f>
        <v/>
      </c>
      <c r="G18" s="56">
        <f>COUNTIFS(Itens!$B$2:$B$132,A18,Itens!$K$2:$K$132,"Correção pendente (audit)")</f>
        <v/>
      </c>
      <c r="H18" s="56">
        <f>COUNTIFS(Itens!$B$2:$B$132,A18,Itens!$K$2:$K$132,"Aberto / não resolvido")</f>
        <v/>
      </c>
      <c r="I18" s="56">
        <f>COUNTIFS(Itens!$B$2:$B$132,A18,Itens!$L$2:$L$132,"&lt;=3")</f>
        <v/>
      </c>
      <c r="J18" s="56">
        <f>COUNTIFS(Itens!$B$2:$B$132,A18,Itens!$L$2:$L$132,"&gt;=7")</f>
        <v/>
      </c>
    </row>
    <row r="19" ht="15" customHeight="1" s="21">
      <c r="A19" s="55" t="inlineStr">
        <is>
          <t>C2</t>
        </is>
      </c>
      <c r="B19" s="56">
        <f>COUNTIF(Itens!$B$2:$B$132,A19)</f>
        <v/>
      </c>
      <c r="C19" s="57">
        <f>IFERROR(AVERAGEIF(Itens!$B$2:$B$132,A19,Itens!$L$2:$L$132),0)</f>
        <v/>
      </c>
      <c r="D19" s="56">
        <f>COUNTIFS(Itens!$B$2:$B$132,A19,Itens!$E$2:$E$132,"Sim")</f>
        <v/>
      </c>
      <c r="E19" s="56">
        <f>COUNTIFS(Itens!$B$2:$B$132,A19,Itens!$F$2:$F$132,"Sim")</f>
        <v/>
      </c>
      <c r="F19" s="56">
        <f>COUNTIFS(Itens!$B$2:$B$132,A19,Itens!$H$2:$H$132,"Sim")</f>
        <v/>
      </c>
      <c r="G19" s="56">
        <f>COUNTIFS(Itens!$B$2:$B$132,A19,Itens!$K$2:$K$132,"Correção pendente (audit)")</f>
        <v/>
      </c>
      <c r="H19" s="56">
        <f>COUNTIFS(Itens!$B$2:$B$132,A19,Itens!$K$2:$K$132,"Aberto / não resolvido")</f>
        <v/>
      </c>
      <c r="I19" s="56">
        <f>COUNTIFS(Itens!$B$2:$B$132,A19,Itens!$L$2:$L$132,"&lt;=3")</f>
        <v/>
      </c>
      <c r="J19" s="56">
        <f>COUNTIFS(Itens!$B$2:$B$132,A19,Itens!$L$2:$L$132,"&gt;=7")</f>
        <v/>
      </c>
    </row>
    <row r="20" ht="15" customHeight="1" s="21">
      <c r="A20" s="55" t="inlineStr">
        <is>
          <t>C3</t>
        </is>
      </c>
      <c r="B20" s="56">
        <f>COUNTIF(Itens!$B$2:$B$132,A20)</f>
        <v/>
      </c>
      <c r="C20" s="57">
        <f>IFERROR(AVERAGEIF(Itens!$B$2:$B$132,A20,Itens!$L$2:$L$132),0)</f>
        <v/>
      </c>
      <c r="D20" s="56">
        <f>COUNTIFS(Itens!$B$2:$B$132,A20,Itens!$E$2:$E$132,"Sim")</f>
        <v/>
      </c>
      <c r="E20" s="56">
        <f>COUNTIFS(Itens!$B$2:$B$132,A20,Itens!$F$2:$F$132,"Sim")</f>
        <v/>
      </c>
      <c r="F20" s="56">
        <f>COUNTIFS(Itens!$B$2:$B$132,A20,Itens!$H$2:$H$132,"Sim")</f>
        <v/>
      </c>
      <c r="G20" s="56">
        <f>COUNTIFS(Itens!$B$2:$B$132,A20,Itens!$K$2:$K$132,"Correção pendente (audit)")</f>
        <v/>
      </c>
      <c r="H20" s="56">
        <f>COUNTIFS(Itens!$B$2:$B$132,A20,Itens!$K$2:$K$132,"Aberto / não resolvido")</f>
        <v/>
      </c>
      <c r="I20" s="56">
        <f>COUNTIFS(Itens!$B$2:$B$132,A20,Itens!$L$2:$L$132,"&lt;=3")</f>
        <v/>
      </c>
      <c r="J20" s="56">
        <f>COUNTIFS(Itens!$B$2:$B$132,A20,Itens!$L$2:$L$132,"&gt;=7")</f>
        <v/>
      </c>
    </row>
    <row r="21" ht="15" customHeight="1" s="21">
      <c r="A21" s="55" t="inlineStr">
        <is>
          <t>C4</t>
        </is>
      </c>
      <c r="B21" s="56">
        <f>COUNTIF(Itens!$B$2:$B$132,A21)</f>
        <v/>
      </c>
      <c r="C21" s="57">
        <f>IFERROR(AVERAGEIF(Itens!$B$2:$B$132,A21,Itens!$L$2:$L$132),0)</f>
        <v/>
      </c>
      <c r="D21" s="56">
        <f>COUNTIFS(Itens!$B$2:$B$132,A21,Itens!$E$2:$E$132,"Sim")</f>
        <v/>
      </c>
      <c r="E21" s="56">
        <f>COUNTIFS(Itens!$B$2:$B$132,A21,Itens!$F$2:$F$132,"Sim")</f>
        <v/>
      </c>
      <c r="F21" s="56">
        <f>COUNTIFS(Itens!$B$2:$B$132,A21,Itens!$H$2:$H$132,"Sim")</f>
        <v/>
      </c>
      <c r="G21" s="56">
        <f>COUNTIFS(Itens!$B$2:$B$132,A21,Itens!$K$2:$K$132,"Correção pendente (audit)")</f>
        <v/>
      </c>
      <c r="H21" s="56">
        <f>COUNTIFS(Itens!$B$2:$B$132,A21,Itens!$K$2:$K$132,"Aberto / não resolvido")</f>
        <v/>
      </c>
      <c r="I21" s="56">
        <f>COUNTIFS(Itens!$B$2:$B$132,A21,Itens!$L$2:$L$132,"&lt;=3")</f>
        <v/>
      </c>
      <c r="J21" s="56">
        <f>COUNTIFS(Itens!$B$2:$B$132,A21,Itens!$L$2:$L$132,"&gt;=7")</f>
        <v/>
      </c>
    </row>
    <row r="22" ht="15" customHeight="1" s="21">
      <c r="A22" s="55" t="inlineStr">
        <is>
          <t>C5</t>
        </is>
      </c>
      <c r="B22" s="56">
        <f>COUNTIF(Itens!$B$2:$B$132,A22)</f>
        <v/>
      </c>
      <c r="C22" s="57">
        <f>IFERROR(AVERAGEIF(Itens!$B$2:$B$132,A22,Itens!$L$2:$L$132),0)</f>
        <v/>
      </c>
      <c r="D22" s="56">
        <f>COUNTIFS(Itens!$B$2:$B$132,A22,Itens!$E$2:$E$132,"Sim")</f>
        <v/>
      </c>
      <c r="E22" s="56">
        <f>COUNTIFS(Itens!$B$2:$B$132,A22,Itens!$F$2:$F$132,"Sim")</f>
        <v/>
      </c>
      <c r="F22" s="56">
        <f>COUNTIFS(Itens!$B$2:$B$132,A22,Itens!$H$2:$H$132,"Sim")</f>
        <v/>
      </c>
      <c r="G22" s="56">
        <f>COUNTIFS(Itens!$B$2:$B$132,A22,Itens!$K$2:$K$132,"Correção pendente (audit)")</f>
        <v/>
      </c>
      <c r="H22" s="56">
        <f>COUNTIFS(Itens!$B$2:$B$132,A22,Itens!$K$2:$K$132,"Aberto / não resolvido")</f>
        <v/>
      </c>
      <c r="I22" s="56">
        <f>COUNTIFS(Itens!$B$2:$B$132,A22,Itens!$L$2:$L$132,"&lt;=3")</f>
        <v/>
      </c>
      <c r="J22" s="56">
        <f>COUNTIFS(Itens!$B$2:$B$132,A22,Itens!$L$2:$L$132,"&gt;=7")</f>
        <v/>
      </c>
    </row>
    <row r="23" ht="15" customHeight="1" s="21">
      <c r="A23" s="55" t="inlineStr">
        <is>
          <t>C6</t>
        </is>
      </c>
      <c r="B23" s="56">
        <f>COUNTIF(Itens!$B$2:$B$132,A23)</f>
        <v/>
      </c>
      <c r="C23" s="57">
        <f>IFERROR(AVERAGEIF(Itens!$B$2:$B$132,A23,Itens!$L$2:$L$132),0)</f>
        <v/>
      </c>
      <c r="D23" s="56">
        <f>COUNTIFS(Itens!$B$2:$B$132,A23,Itens!$E$2:$E$132,"Sim")</f>
        <v/>
      </c>
      <c r="E23" s="56">
        <f>COUNTIFS(Itens!$B$2:$B$132,A23,Itens!$F$2:$F$132,"Sim")</f>
        <v/>
      </c>
      <c r="F23" s="56">
        <f>COUNTIFS(Itens!$B$2:$B$132,A23,Itens!$H$2:$H$132,"Sim")</f>
        <v/>
      </c>
      <c r="G23" s="56">
        <f>COUNTIFS(Itens!$B$2:$B$132,A23,Itens!$K$2:$K$132,"Correção pendente (audit)")</f>
        <v/>
      </c>
      <c r="H23" s="56">
        <f>COUNTIFS(Itens!$B$2:$B$132,A23,Itens!$K$2:$K$132,"Aberto / não resolvido")</f>
        <v/>
      </c>
      <c r="I23" s="56">
        <f>COUNTIFS(Itens!$B$2:$B$132,A23,Itens!$L$2:$L$132,"&lt;=3")</f>
        <v/>
      </c>
      <c r="J23" s="56">
        <f>COUNTIFS(Itens!$B$2:$B$132,A23,Itens!$L$2:$L$132,"&gt;=7")</f>
        <v/>
      </c>
    </row>
    <row r="24" ht="15" customHeight="1" s="21">
      <c r="A24" s="55" t="inlineStr">
        <is>
          <t>D</t>
        </is>
      </c>
      <c r="B24" s="56">
        <f>COUNTIF(Itens!$B$2:$B$132,A24)</f>
        <v/>
      </c>
      <c r="C24" s="57">
        <f>IFERROR(AVERAGEIF(Itens!$B$2:$B$132,A24,Itens!$L$2:$L$132),0)</f>
        <v/>
      </c>
      <c r="D24" s="56">
        <f>COUNTIFS(Itens!$B$2:$B$132,A24,Itens!$E$2:$E$132,"Sim")</f>
        <v/>
      </c>
      <c r="E24" s="56">
        <f>COUNTIFS(Itens!$B$2:$B$132,A24,Itens!$F$2:$F$132,"Sim")</f>
        <v/>
      </c>
      <c r="F24" s="56">
        <f>COUNTIFS(Itens!$B$2:$B$132,A24,Itens!$H$2:$H$132,"Sim")</f>
        <v/>
      </c>
      <c r="G24" s="56">
        <f>COUNTIFS(Itens!$B$2:$B$132,A24,Itens!$K$2:$K$132,"Correção pendente (audit)")</f>
        <v/>
      </c>
      <c r="H24" s="56">
        <f>COUNTIFS(Itens!$B$2:$B$132,A24,Itens!$K$2:$K$132,"Aberto / não resolvido")</f>
        <v/>
      </c>
      <c r="I24" s="56">
        <f>COUNTIFS(Itens!$B$2:$B$132,A24,Itens!$L$2:$L$132,"&lt;=3")</f>
        <v/>
      </c>
      <c r="J24" s="56">
        <f>COUNTIFS(Itens!$B$2:$B$132,A24,Itens!$L$2:$L$132,"&gt;=7")</f>
        <v/>
      </c>
    </row>
    <row r="25" ht="15" customHeight="1" s="21">
      <c r="A25" s="55" t="inlineStr">
        <is>
          <t>Total</t>
        </is>
      </c>
      <c r="B25" s="55">
        <f>SUM(B5:B24)</f>
        <v/>
      </c>
      <c r="C25" s="58">
        <f>AVERAGE(Itens!$L$2:$L$132)</f>
        <v/>
      </c>
      <c r="D25" s="55">
        <f>SUM(D5:D24)</f>
        <v/>
      </c>
      <c r="E25" s="55">
        <f>SUM(E5:E24)</f>
        <v/>
      </c>
      <c r="F25" s="55">
        <f>SUM(F5:F24)</f>
        <v/>
      </c>
      <c r="G25" s="55">
        <f>SUM(G5:G24)</f>
        <v/>
      </c>
      <c r="H25" s="55">
        <f>SUM(H5:H24)</f>
        <v/>
      </c>
      <c r="I25" s="55">
        <f>SUM(I5:I24)</f>
        <v/>
      </c>
      <c r="J25" s="55">
        <f>SUM(J5:J24)</f>
        <v/>
      </c>
    </row>
    <row r="26"/>
    <row r="27" ht="15" customHeight="1" s="21">
      <c r="A27" s="59" t="inlineStr">
        <is>
          <t>Flags do audit por categoria e severidade</t>
        </is>
      </c>
    </row>
    <row r="28" ht="15" customHeight="1" s="21">
      <c r="A28" s="54" t="inlineStr">
        <is>
          <t>Categoria</t>
        </is>
      </c>
      <c r="B28" s="54" t="inlineStr">
        <is>
          <t>Significado</t>
        </is>
      </c>
      <c r="C28" s="54" t="inlineStr">
        <is>
          <t>Total</t>
        </is>
      </c>
      <c r="D28" s="54" t="inlineStr">
        <is>
          <t>Alta</t>
        </is>
      </c>
      <c r="E28" s="54" t="inlineStr">
        <is>
          <t>Média</t>
        </is>
      </c>
      <c r="F28" s="54" t="inlineStr">
        <is>
          <t>Baixa</t>
        </is>
      </c>
    </row>
    <row r="29" ht="15" customHeight="1" s="21">
      <c r="A29" s="56" t="inlineStr">
        <is>
          <t>1</t>
        </is>
      </c>
      <c r="B29" s="60" t="inlineStr">
        <is>
          <t>Inferência como fato</t>
        </is>
      </c>
      <c r="C29" s="56">
        <f>COUNTIF(Flags_auditoria!$E$2:$E$127,"*"&amp;A29&amp;"*")</f>
        <v/>
      </c>
      <c r="D29" s="56">
        <f>COUNTIFS(Flags_auditoria!$E$2:$E$127,"*"&amp;A29&amp;"*",Flags_auditoria!$F$2:$F$127,"alta")</f>
        <v/>
      </c>
      <c r="E29" s="56">
        <f>COUNTIFS(Flags_auditoria!$E$2:$E$127,"*"&amp;A29&amp;"*",Flags_auditoria!$F$2:$F$127,"média")</f>
        <v/>
      </c>
      <c r="F29" s="56">
        <f>COUNTIFS(Flags_auditoria!$E$2:$E$127,"*"&amp;A29&amp;"*",Flags_auditoria!$F$2:$F$127,"baixa")</f>
        <v/>
      </c>
    </row>
    <row r="30" ht="15" customHeight="1" s="21">
      <c r="A30" s="56" t="inlineStr">
        <is>
          <t>2</t>
        </is>
      </c>
      <c r="B30" s="60" t="inlineStr">
        <is>
          <t>Só fonte de terceiros</t>
        </is>
      </c>
      <c r="C30" s="56">
        <f>COUNTIF(Flags_auditoria!$E$2:$E$127,"*"&amp;A30&amp;"*")</f>
        <v/>
      </c>
      <c r="D30" s="56">
        <f>COUNTIFS(Flags_auditoria!$E$2:$E$127,"*"&amp;A30&amp;"*",Flags_auditoria!$F$2:$F$127,"alta")</f>
        <v/>
      </c>
      <c r="E30" s="56">
        <f>COUNTIFS(Flags_auditoria!$E$2:$E$127,"*"&amp;A30&amp;"*",Flags_auditoria!$F$2:$F$127,"média")</f>
        <v/>
      </c>
      <c r="F30" s="56">
        <f>COUNTIFS(Flags_auditoria!$E$2:$E$127,"*"&amp;A30&amp;"*",Flags_auditoria!$F$2:$F$127,"baixa")</f>
        <v/>
      </c>
    </row>
    <row r="31" ht="15" customHeight="1" s="21">
      <c r="A31" s="56" t="inlineStr">
        <is>
          <t>3</t>
        </is>
      </c>
      <c r="B31" s="60" t="inlineStr">
        <is>
          <t>Só decompile em valor sensível</t>
        </is>
      </c>
      <c r="C31" s="56">
        <f>COUNTIF(Flags_auditoria!$E$2:$E$127,"*"&amp;A31&amp;"*")</f>
        <v/>
      </c>
      <c r="D31" s="56">
        <f>COUNTIFS(Flags_auditoria!$E$2:$E$127,"*"&amp;A31&amp;"*",Flags_auditoria!$F$2:$F$127,"alta")</f>
        <v/>
      </c>
      <c r="E31" s="56">
        <f>COUNTIFS(Flags_auditoria!$E$2:$E$127,"*"&amp;A31&amp;"*",Flags_auditoria!$F$2:$F$127,"média")</f>
        <v/>
      </c>
      <c r="F31" s="56">
        <f>COUNTIFS(Flags_auditoria!$E$2:$E$127,"*"&amp;A31&amp;"*",Flags_auditoria!$F$2:$F$127,"baixa")</f>
        <v/>
      </c>
    </row>
    <row r="32" ht="15" customHeight="1" s="21">
      <c r="A32" s="56" t="inlineStr">
        <is>
          <t>4</t>
        </is>
      </c>
      <c r="B32" s="60" t="inlineStr">
        <is>
          <t>Citação não confere / binário contradiz</t>
        </is>
      </c>
      <c r="C32" s="56">
        <f>COUNTIF(Flags_auditoria!$E$2:$E$127,"*"&amp;A32&amp;"*")</f>
        <v/>
      </c>
      <c r="D32" s="56">
        <f>COUNTIFS(Flags_auditoria!$E$2:$E$127,"*"&amp;A32&amp;"*",Flags_auditoria!$F$2:$F$127,"alta")</f>
        <v/>
      </c>
      <c r="E32" s="56">
        <f>COUNTIFS(Flags_auditoria!$E$2:$E$127,"*"&amp;A32&amp;"*",Flags_auditoria!$F$2:$F$127,"média")</f>
        <v/>
      </c>
      <c r="F32" s="56">
        <f>COUNTIFS(Flags_auditoria!$E$2:$E$127,"*"&amp;A32&amp;"*",Flags_auditoria!$F$2:$F$127,"baixa")</f>
        <v/>
      </c>
    </row>
    <row r="33" ht="15" customHeight="1" s="21">
      <c r="A33" s="56" t="inlineStr">
        <is>
          <t>5</t>
        </is>
      </c>
      <c r="B33" s="60" t="inlineStr">
        <is>
          <t>Número sem fonte</t>
        </is>
      </c>
      <c r="C33" s="56">
        <f>COUNTIF(Flags_auditoria!$E$2:$E$127,"*"&amp;A33&amp;"*")</f>
        <v/>
      </c>
      <c r="D33" s="56">
        <f>COUNTIFS(Flags_auditoria!$E$2:$E$127,"*"&amp;A33&amp;"*",Flags_auditoria!$F$2:$F$127,"alta")</f>
        <v/>
      </c>
      <c r="E33" s="56">
        <f>COUNTIFS(Flags_auditoria!$E$2:$E$127,"*"&amp;A33&amp;"*",Flags_auditoria!$F$2:$F$127,"média")</f>
        <v/>
      </c>
      <c r="F33" s="56">
        <f>COUNTIFS(Flags_auditoria!$E$2:$E$127,"*"&amp;A33&amp;"*",Flags_auditoria!$F$2:$F$127,"baixa")</f>
        <v/>
      </c>
    </row>
    <row r="34" ht="15" customHeight="1" s="21">
      <c r="A34" s="55" t="inlineStr">
        <is>
          <t>Linhas de flag</t>
        </is>
      </c>
      <c r="B34" s="55" t="n"/>
      <c r="C34" s="55">
        <f>COUNTA(Flags_auditoria!$A$2:$A$127)</f>
        <v/>
      </c>
      <c r="D34" s="55">
        <f>COUNTIF(Flags_auditoria!$F$2:$F$127,"alta")</f>
        <v/>
      </c>
      <c r="E34" s="55">
        <f>COUNTIF(Flags_auditoria!$F$2:$F$127,"média")</f>
        <v/>
      </c>
      <c r="F34" s="55">
        <f>COUNTIF(Flags_auditoria!$F$2:$F$127,"baixa")</f>
        <v/>
      </c>
    </row>
    <row r="35" ht="15" customHeight="1" s="21">
      <c r="A35" s="61" t="inlineStr">
        <is>
          <t>Uma linha de flag pode ter duas categorias (ex.: '4/2'); por isso a soma por categoria pode passar do total de linhas. O audit conta 129 afirmações porque algumas linhas agrupam várias.</t>
        </is>
      </c>
    </row>
    <row r="36"/>
    <row r="37" ht="15" customHeight="1" s="21">
      <c r="A37" s="59" t="inlineStr">
        <is>
          <t>Distribuição da confiança (todos os itens)</t>
        </is>
      </c>
    </row>
    <row r="38" ht="15" customHeight="1" s="21">
      <c r="A38" s="62" t="inlineStr">
        <is>
          <t>0–3 (fraco / especulativo)</t>
        </is>
      </c>
      <c r="C38" s="63">
        <f>COUNTIFS(Itens!$L$2:$L$132,"&gt;=0",Itens!$L$2:$L$132,"&lt;=3")</f>
        <v/>
      </c>
    </row>
    <row r="39" ht="15" customHeight="1" s="21">
      <c r="A39" s="62" t="inlineStr">
        <is>
          <t>acima de 3 até 6 (parcial)</t>
        </is>
      </c>
      <c r="C39" s="63">
        <f>COUNTIFS(Itens!$L$2:$L$132,"&gt;3",Itens!$L$2:$L$132,"&lt;=6")</f>
        <v/>
      </c>
    </row>
    <row r="40" ht="15" customHeight="1" s="21">
      <c r="A40" s="62" t="inlineStr">
        <is>
          <t>acima de 6 até 8 (sólido)</t>
        </is>
      </c>
      <c r="C40" s="63">
        <f>COUNTIFS(Itens!$L$2:$L$132,"&gt;6",Itens!$L$2:$L$132,"&lt;=8")</f>
        <v/>
      </c>
    </row>
    <row r="41" ht="15" customHeight="1" s="21">
      <c r="A41" s="62" t="inlineStr">
        <is>
          <t>acima de 8 até 10 (forte)</t>
        </is>
      </c>
      <c r="C41" s="63">
        <f>COUNTIFS(Itens!$L$2:$L$132,"&gt;8",Itens!$L$2:$L$132,"&lt;=10")</f>
        <v/>
      </c>
    </row>
  </sheetData>
  <conditionalFormatting sqref="C5:C25">
    <cfRule type="dataBar" priority="2">
      <dataBar minLength="10" maxLength="90" showValue="1">
        <cfvo type="num" val="0"/>
        <cfvo type="num" val="10"/>
        <color rgb="FF5B9BD5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1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51" min="1" max="1"/>
    <col width="7" customWidth="1" style="51" min="2" max="2"/>
    <col width="26" customWidth="1" style="51" min="3" max="3"/>
    <col width="60" customWidth="1" style="51" min="4" max="4"/>
    <col width="11" customWidth="1" style="51" min="5" max="5"/>
    <col width="10" customWidth="1" style="51" min="6" max="6"/>
    <col width="13" customWidth="1" style="51" min="7" max="7"/>
    <col width="11" customWidth="1" style="51" min="8" max="8"/>
    <col width="40" customWidth="1" style="51" min="9" max="9"/>
    <col width="8" customWidth="1" style="51" min="10" max="10"/>
    <col width="20" customWidth="1" style="51" min="11" max="11"/>
    <col width="10" customWidth="1" style="51" min="12" max="12"/>
    <col width="42" customWidth="1" style="51" min="13" max="13"/>
    <col width="28" customWidth="1" style="51" min="14" max="14"/>
    <col width="50" customWidth="1" style="51" min="15" max="15"/>
    <col width="12" customWidth="1" style="21" min="16" max="16"/>
  </cols>
  <sheetData>
    <row r="1" ht="42" customHeight="1" s="21">
      <c r="A1" s="54" t="inlineStr">
        <is>
          <t>ID</t>
        </is>
      </c>
      <c r="B1" s="54" t="inlineStr">
        <is>
          <t>Parte</t>
        </is>
      </c>
      <c r="C1" s="54" t="inlineStr">
        <is>
          <t>Item</t>
        </is>
      </c>
      <c r="D1" s="54" t="inlineStr">
        <is>
          <t>Descrição breve</t>
        </is>
      </c>
      <c r="E1" s="54" t="inlineStr">
        <is>
          <t>Byte-level confirmado</t>
        </is>
      </c>
      <c r="F1" s="54" t="inlineStr">
        <is>
          <t>Hardware live</t>
        </is>
      </c>
      <c r="G1" s="54" t="inlineStr">
        <is>
          <t>Ferramenta (otool/Ghidra)</t>
        </is>
      </c>
      <c r="H1" s="54" t="inlineStr">
        <is>
          <t>Especulativo</t>
        </is>
      </c>
      <c r="I1" s="54" t="inlineStr">
        <is>
          <t>Fontes / cruzamentos (separe com ;)</t>
        </is>
      </c>
      <c r="J1" s="54" t="inlineStr">
        <is>
          <t>Nº de fontes</t>
        </is>
      </c>
      <c r="K1" s="54" t="inlineStr">
        <is>
          <t>Status documental</t>
        </is>
      </c>
      <c r="L1" s="54" t="inlineStr">
        <is>
          <t>Confiança (0–10)</t>
        </is>
      </c>
      <c r="M1" s="54" t="inlineStr">
        <is>
          <t>Referência (arquivo; seção/linha)</t>
        </is>
      </c>
      <c r="N1" s="54" t="inlineStr">
        <is>
          <t>Flags do audit (arquivo:linha)</t>
        </is>
      </c>
      <c r="O1" s="54" t="inlineStr">
        <is>
          <t>Notas / pendências</t>
        </is>
      </c>
      <c r="P1" s="64" t="inlineStr">
        <is>
          <t>Sub-ramo</t>
        </is>
      </c>
    </row>
    <row r="2" ht="32.8" customHeight="1" s="21">
      <c r="A2" s="65" t="inlineStr">
        <is>
          <t>A1-OV.1</t>
        </is>
      </c>
      <c r="B2" s="66" t="inlineStr">
        <is>
          <t>A1</t>
        </is>
      </c>
      <c r="C2" s="67" t="inlineStr">
        <is>
          <t>Estrutura geral do kext</t>
        </is>
      </c>
      <c r="D2" s="67" t="inlineStr">
        <is>
          <t>2862 funções, 222 classes; família de engines (FWEngine1/2, Pair, TimeSlave); FWMetaNub polimórfico; framework de propriedades tipadas + ChannelGroup.</t>
        </is>
      </c>
      <c r="E2" s="66" t="inlineStr">
        <is>
          <t>Parcial</t>
        </is>
      </c>
      <c r="F2" s="66" t="inlineStr">
        <is>
          <t>Não</t>
        </is>
      </c>
      <c r="G2" s="66" t="inlineStr">
        <is>
          <t>otool + Ghidra</t>
        </is>
      </c>
      <c r="H2" s="66" t="inlineStr">
        <is>
          <t>Não</t>
        </is>
      </c>
      <c r="I2" s="67" t="inlineStr">
        <is>
          <t>export Ghidra (functions.tsv, classes.md); símbolos nm</t>
        </is>
      </c>
      <c r="J2" s="66">
        <f>IF(TRIM(I2)="",0,LEN(I2)-LEN(SUBSTITUTE(I2,";",""))+1)</f>
        <v/>
      </c>
      <c r="K2" s="67" t="inlineStr">
        <is>
          <t>Corrigido 2026-10-14</t>
        </is>
      </c>
      <c r="L2" s="68">
        <f>ROUND(IF(H2="Sim",MIN(Legenda!$C$12,MIN(10,IF(E2="Sim",Legenda!$C$4,IF(E2="Parcial",Legenda!$C$5,0))+IF(F2="Sim",Legenda!$C$6,IF(F2="Parcial",Legenda!$C$7,0))+IF(G2="otool + Ghidra",Legenda!$C$8,IF(OR(G2="otool",G2="Ghidra",G2="Outro binário"),Legenda!$C$9,0))+MIN(Legenda!$C$11,MAX(0,J2-1)*Legenda!$C$10))),IF(H2="Parcial",MIN(Legenda!$C$13,MIN(10,IF(E2="Sim",Legenda!$C$4,IF(E2="Parcial",Legenda!$C$5,0))+IF(F2="Sim",Legenda!$C$6,IF(F2="Parcial",Legenda!$C$7,0))+IF(G2="otool + Ghidra",Legenda!$C$8,IF(OR(G2="otool",G2="Ghidra",G2="Outro binário"),Legenda!$C$9,0))+MIN(Legenda!$C$11,MAX(0,J2-1)*Legenda!$C$10))),MIN(10,IF(E2="Sim",Legenda!$C$4,IF(E2="Parcial",Legenda!$C$5,0))+IF(F2="Sim",Legenda!$C$6,IF(F2="Parcial",Legenda!$C$7,0))+IF(G2="otool + Ghidra",Legenda!$C$8,IF(OR(G2="otool",G2="Ghidra",G2="Outro binário"),Legenda!$C$9,0))+MIN(Legenda!$C$11,MAX(0,J2-1)*Legenda!$C$10)))),1)</f>
        <v/>
      </c>
      <c r="M2" s="67" t="inlineStr">
        <is>
          <t>A1-ghidra/A1-ghidra-overview.md; ghidra-exports/classes.md</t>
        </is>
      </c>
      <c r="N2" s="67" t="inlineStr">
        <is>
          <t>A1-ghidra/README:17,19,38</t>
        </is>
      </c>
      <c r="O2" s="67" t="inlineStr">
        <is>
          <t>Afirmação 'segundo UserClient FWKIPCUserClient' superada: é a classe-base do FWUserClient (A1-Q-UC.2). Linhas do índice A1 desatualizadas.</t>
        </is>
      </c>
      <c r="P2" s="69">
        <f>LEFT(A2,FIND(".",A2&amp;".")-1)</f>
        <v/>
      </c>
    </row>
    <row r="3" ht="22.35" customHeight="1" s="21">
      <c r="A3" s="65" t="inlineStr">
        <is>
          <t>A1-Q1.1</t>
        </is>
      </c>
      <c r="B3" s="66" t="inlineStr">
        <is>
          <t>A1</t>
        </is>
      </c>
      <c r="C3" s="67" t="inlineStr">
        <is>
          <t>Anel DCL RX</t>
        </is>
      </c>
      <c r="D3" s="67" t="inlineStr">
        <is>
          <t>64 segmentos × 4 pacotes + 64 jumps, ligados em anel (labels[(i+1)&amp;0x3f]); procData = {this, segIdx}.</t>
        </is>
      </c>
      <c r="E3" s="66" t="inlineStr">
        <is>
          <t>Sim</t>
        </is>
      </c>
      <c r="F3" s="66" t="inlineStr">
        <is>
          <t>Não</t>
        </is>
      </c>
      <c r="G3" s="66" t="inlineStr">
        <is>
          <t>otool + Ghidra</t>
        </is>
      </c>
      <c r="H3" s="66" t="inlineStr">
        <is>
          <t>Não</t>
        </is>
      </c>
      <c r="I3" s="67" t="inlineStr">
        <is>
          <t>asm 0x25962/0x25a99; Ghidra (Q1); Q-DCL</t>
        </is>
      </c>
      <c r="J3" s="66">
        <f>IF(TRIM(I3)="",0,LEN(I3)-LEN(SUBSTITUTE(I3,";",""))+1)</f>
        <v/>
      </c>
      <c r="K3" s="67" t="inlineStr">
        <is>
          <t>Corrigido 2026-10-14</t>
        </is>
      </c>
      <c r="L3" s="68">
        <f>ROUND(IF(H3="Sim",MIN(Legenda!$C$12,MIN(10,IF(E3="Sim",Legenda!$C$4,IF(E3="Parcial",Legenda!$C$5,0))+IF(F3="Sim",Legenda!$C$6,IF(F3="Parcial",Legenda!$C$7,0))+IF(G3="otool + Ghidra",Legenda!$C$8,IF(OR(G3="otool",G3="Ghidra",G3="Outro binário"),Legenda!$C$9,0))+MIN(Legenda!$C$11,MAX(0,J3-1)*Legenda!$C$10))),IF(H3="Parcial",MIN(Legenda!$C$13,MIN(10,IF(E3="Sim",Legenda!$C$4,IF(E3="Parcial",Legenda!$C$5,0))+IF(F3="Sim",Legenda!$C$6,IF(F3="Parcial",Legenda!$C$7,0))+IF(G3="otool + Ghidra",Legenda!$C$8,IF(OR(G3="otool",G3="Ghidra",G3="Outro binário"),Legenda!$C$9,0))+MIN(Legenda!$C$11,MAX(0,J3-1)*Legenda!$C$10))),MIN(10,IF(E3="Sim",Legenda!$C$4,IF(E3="Parcial",Legenda!$C$5,0))+IF(F3="Sim",Legenda!$C$6,IF(F3="Parcial",Legenda!$C$7,0))+IF(G3="otool + Ghidra",Legenda!$C$8,IF(OR(G3="otool",G3="Ghidra",G3="Outro binário"),Legenda!$C$9,0))+MIN(Legenda!$C$11,MAX(0,J3-1)*Legenda!$C$10)))),1)</f>
        <v/>
      </c>
      <c r="M3" s="67" t="inlineStr">
        <is>
          <t>A1-ghidra/Q1-rx-dcl-callbacks.md (Correction no topo); Q-DCL-geometry-table.md §RX</t>
        </is>
      </c>
      <c r="N3" s="67" t="inlineStr">
        <is>
          <t>—</t>
        </is>
      </c>
      <c r="O3" s="67" t="inlineStr">
        <is>
          <t>Callbacks nunca observados em execução no hardware.</t>
        </is>
      </c>
      <c r="P3" s="69">
        <f>LEFT(A3,FIND(".",A3&amp;".")-1)</f>
        <v/>
      </c>
    </row>
    <row r="4" ht="22.35" customHeight="1" s="21">
      <c r="A4" s="65" t="inlineStr">
        <is>
          <t>A1-Q1.2</t>
        </is>
      </c>
      <c r="B4" s="66" t="inlineStr">
        <is>
          <t>A1</t>
        </is>
      </c>
      <c r="C4" s="67" t="inlineStr">
        <is>
          <t>Mecanismo de interrupção OHCI</t>
        </is>
      </c>
      <c r="D4" s="67" t="inlineStr">
        <is>
          <t>Qual nó DCL faz o OHCI gerar interrupção: DCLPtrTimeStamp (C2/C4) ou bit 's' do CallProc (Q1).</t>
        </is>
      </c>
      <c r="E4" s="66" t="inlineStr">
        <is>
          <t>Sim</t>
        </is>
      </c>
      <c r="F4" s="66" t="inlineStr">
        <is>
          <t>Não</t>
        </is>
      </c>
      <c r="G4" s="66" t="inlineStr">
        <is>
          <t>otool</t>
        </is>
      </c>
      <c r="H4" s="66" t="inlineStr">
        <is>
          <t>Não</t>
        </is>
      </c>
      <c r="I4" s="67" t="inlineStr">
        <is>
          <t>AppleFWOHCI 5.5.9 asm 0x8f69/0x901d/0xd53f/0xcce7; IOFWDCL.h (IOFireWireFamily source); Q-OHCI-interrupt</t>
        </is>
      </c>
      <c r="J4" s="66">
        <f>IF(TRIM(I4)="",0,LEN(I4)-LEN(SUBSTITUTE(I4,";",""))+1)</f>
        <v/>
      </c>
      <c r="K4" s="67" t="inlineStr">
        <is>
          <t>Corrigido 2026-10-14</t>
        </is>
      </c>
      <c r="L4" s="68">
        <f>ROUND(IF(H4="Sim",MIN(Legenda!$C$12,MIN(10,IF(E4="Sim",Legenda!$C$4,IF(E4="Parcial",Legenda!$C$5,0))+IF(F4="Sim",Legenda!$C$6,IF(F4="Parcial",Legenda!$C$7,0))+IF(G4="otool + Ghidra",Legenda!$C$8,IF(OR(G4="otool",G4="Ghidra",G4="Outro binário"),Legenda!$C$9,0))+MIN(Legenda!$C$11,MAX(0,J4-1)*Legenda!$C$10))),IF(H4="Parcial",MIN(Legenda!$C$13,MIN(10,IF(E4="Sim",Legenda!$C$4,IF(E4="Parcial",Legenda!$C$5,0))+IF(F4="Sim",Legenda!$C$6,IF(F4="Parcial",Legenda!$C$7,0))+IF(G4="otool + Ghidra",Legenda!$C$8,IF(OR(G4="otool",G4="Ghidra",G4="Outro binário"),Legenda!$C$9,0))+MIN(Legenda!$C$11,MAX(0,J4-1)*Legenda!$C$10))),MIN(10,IF(E4="Sim",Legenda!$C$4,IF(E4="Parcial",Legenda!$C$5,0))+IF(F4="Sim",Legenda!$C$6,IF(F4="Parcial",Legenda!$C$7,0))+IF(G4="otool + Ghidra",Legenda!$C$8,IF(OR(G4="otool",G4="Ghidra",G4="Outro binário"),Legenda!$C$9,0))+MIN(Legenda!$C$11,MAX(0,J4-1)*Legenda!$C$10)))),1)</f>
        <v/>
      </c>
      <c r="M4" s="67" t="inlineStr">
        <is>
          <t>A1-ghidra/Q-OHCI-interrupt.md; PROVENANCE-RESOLUTIONS.md §R7</t>
        </is>
      </c>
      <c r="N4" s="67" t="inlineStr">
        <is>
          <t>Q1:177,187; C2:242; C4:133-135</t>
        </is>
      </c>
      <c r="O4" s="67" t="inlineStr">
        <is>
          <t>Resolvido 2026-10-14: interrupção vem do callback (CallProc dobrado no DCL de transferência anterior), não do nó de timestamp. Aberto: igualdade com o SL 10.6.8 (não verificada); teste de cadência ao vivo bloqueado (sem experimentos no build PC).</t>
        </is>
      </c>
      <c r="P4" s="69">
        <f>LEFT(A4,FIND(".",A4&amp;".")-1)</f>
        <v/>
      </c>
    </row>
    <row r="5" ht="22.35" customHeight="1" s="21">
      <c r="A5" s="65" t="inlineStr">
        <is>
          <t>A1-Q1a.1</t>
        </is>
      </c>
      <c r="B5" s="66" t="inlineStr">
        <is>
          <t>A1</t>
        </is>
      </c>
      <c r="C5" s="67" t="inlineStr">
        <is>
          <t>Opcodes DCL (label / SetTagSyncBits)</t>
        </is>
      </c>
      <c r="D5" s="67" t="inlineStr">
        <is>
          <t>AddLabel emite 0x9 e AddSetTagSyncBits emite 0xb; os docs trocam os dois.</t>
        </is>
      </c>
      <c r="E5" s="66" t="inlineStr">
        <is>
          <t>Sim</t>
        </is>
      </c>
      <c r="F5" s="66" t="inlineStr">
        <is>
          <t>Não</t>
        </is>
      </c>
      <c r="G5" s="66" t="inlineStr">
        <is>
          <t>otool</t>
        </is>
      </c>
      <c r="H5" s="66" t="inlineStr">
        <is>
          <t>Não</t>
        </is>
      </c>
      <c r="I5" s="67" t="inlineStr">
        <is>
          <t>asm 0x6bdd/0x6d34</t>
        </is>
      </c>
      <c r="J5" s="66">
        <f>IF(TRIM(I5)="",0,LEN(I5)-LEN(SUBSTITUTE(I5,";",""))+1)</f>
        <v/>
      </c>
      <c r="K5" s="67" t="inlineStr">
        <is>
          <t>Corrigido 2026-10-14</t>
        </is>
      </c>
      <c r="L5" s="68">
        <f>ROUND(IF(H5="Sim",MIN(Legenda!$C$12,MIN(10,IF(E5="Sim",Legenda!$C$4,IF(E5="Parcial",Legenda!$C$5,0))+IF(F5="Sim",Legenda!$C$6,IF(F5="Parcial",Legenda!$C$7,0))+IF(G5="otool + Ghidra",Legenda!$C$8,IF(OR(G5="otool",G5="Ghidra",G5="Outro binário"),Legenda!$C$9,0))+MIN(Legenda!$C$11,MAX(0,J5-1)*Legenda!$C$10))),IF(H5="Parcial",MIN(Legenda!$C$13,MIN(10,IF(E5="Sim",Legenda!$C$4,IF(E5="Parcial",Legenda!$C$5,0))+IF(F5="Sim",Legenda!$C$6,IF(F5="Parcial",Legenda!$C$7,0))+IF(G5="otool + Ghidra",Legenda!$C$8,IF(OR(G5="otool",G5="Ghidra",G5="Outro binário"),Legenda!$C$9,0))+MIN(Legenda!$C$11,MAX(0,J5-1)*Legenda!$C$10))),MIN(10,IF(E5="Sim",Legenda!$C$4,IF(E5="Parcial",Legenda!$C$5,0))+IF(F5="Sim",Legenda!$C$6,IF(F5="Parcial",Legenda!$C$7,0))+IF(G5="otool + Ghidra",Legenda!$C$8,IF(OR(G5="otool",G5="Ghidra",G5="Outro binário"),Legenda!$C$9,0))+MIN(Legenda!$C$11,MAX(0,J5-1)*Legenda!$C$10)))),1)</f>
        <v/>
      </c>
      <c r="M5" s="67" t="inlineStr">
        <is>
          <t>Q1a:85; Q1b:156,158; C4:102-103,143</t>
        </is>
      </c>
      <c r="N5" s="67" t="inlineStr">
        <is>
          <t>Q1a:85; Q1b:156,158; C4:102-103,143</t>
        </is>
      </c>
      <c r="O5" s="67" t="inlineStr">
        <is>
          <t>Conferir com IOFireWireFamilyCommon.h do SDK 10.13 no build PC. [2026-10-14] Bloco Correction inserido nos .md; evidência em docs/system-map/PROVENANCE-RESOLUTIONS.md.</t>
        </is>
      </c>
      <c r="P5" s="69">
        <f>LEFT(A5,FIND(".",A5&amp;".")-1)</f>
        <v/>
      </c>
    </row>
    <row r="6" ht="32.8" customHeight="1" s="21">
      <c r="A6" s="65" t="inlineStr">
        <is>
          <t>A1-Q1b.1</t>
        </is>
      </c>
      <c r="B6" s="66" t="inlineStr">
        <is>
          <t>A1</t>
        </is>
      </c>
      <c r="C6" s="67" t="inlineStr">
        <is>
          <t>Entrega ao createLocalIsochPort</t>
        </is>
      </c>
      <c r="D6" s="67" t="inlineStr">
        <is>
          <t>Chamada clássica de 7 argumentos com ranges NULL; porta local + porta remota (FWRemoteIsochPort) + FWIsochChannel.</t>
        </is>
      </c>
      <c r="E6" s="66" t="inlineStr">
        <is>
          <t>Sim</t>
        </is>
      </c>
      <c r="F6" s="66" t="inlineStr">
        <is>
          <t>Não</t>
        </is>
      </c>
      <c r="G6" s="66" t="inlineStr">
        <is>
          <t>otool + Ghidra</t>
        </is>
      </c>
      <c r="H6" s="66" t="inlineStr">
        <is>
          <t>Não</t>
        </is>
      </c>
      <c r="I6" s="67" t="inlineStr">
        <is>
          <t>asm 0x255c2; Ghidra (cmp.c); Q-CMP</t>
        </is>
      </c>
      <c r="J6" s="66">
        <f>IF(TRIM(I6)="",0,LEN(I6)-LEN(SUBSTITUTE(I6,";",""))+1)</f>
        <v/>
      </c>
      <c r="K6" s="67" t="inlineStr">
        <is>
          <t>Corrigido 2026-10-14</t>
        </is>
      </c>
      <c r="L6" s="68">
        <f>ROUND(IF(H6="Sim",MIN(Legenda!$C$12,MIN(10,IF(E6="Sim",Legenda!$C$4,IF(E6="Parcial",Legenda!$C$5,0))+IF(F6="Sim",Legenda!$C$6,IF(F6="Parcial",Legenda!$C$7,0))+IF(G6="otool + Ghidra",Legenda!$C$8,IF(OR(G6="otool",G6="Ghidra",G6="Outro binário"),Legenda!$C$9,0))+MIN(Legenda!$C$11,MAX(0,J6-1)*Legenda!$C$10))),IF(H6="Parcial",MIN(Legenda!$C$13,MIN(10,IF(E6="Sim",Legenda!$C$4,IF(E6="Parcial",Legenda!$C$5,0))+IF(F6="Sim",Legenda!$C$6,IF(F6="Parcial",Legenda!$C$7,0))+IF(G6="otool + Ghidra",Legenda!$C$8,IF(OR(G6="otool",G6="Ghidra",G6="Outro binário"),Legenda!$C$9,0))+MIN(Legenda!$C$11,MAX(0,J6-1)*Legenda!$C$10))),MIN(10,IF(E6="Sim",Legenda!$C$4,IF(E6="Parcial",Legenda!$C$5,0))+IF(F6="Sim",Legenda!$C$6,IF(F6="Parcial",Legenda!$C$7,0))+IF(G6="otool + Ghidra",Legenda!$C$8,IF(OR(G6="otool",G6="Ghidra",G6="Outro binário"),Legenda!$C$9,0))+MIN(Legenda!$C$11,MAX(0,J6-1)*Legenda!$C$10)))),1)</f>
        <v/>
      </c>
      <c r="M6" s="67" t="inlineStr">
        <is>
          <t>A1-ghidra/Q1b-createlocaliosochport-handoff.md; Q-CMP-connect.md §1</t>
        </is>
      </c>
      <c r="N6" s="67" t="inlineStr">
        <is>
          <t>Q1b:156,158 (opcodes)</t>
        </is>
      </c>
      <c r="O6" s="67" t="inlineStr">
        <is>
          <t>[+0x60] é packetSize, não velocidade (corrigido). 'NuDCL inutilizável no kernel 10.13' vem de experimento pré-Ghidra sem captura arquivada.</t>
        </is>
      </c>
      <c r="P6" s="69">
        <f>LEFT(A6,FIND(".",A6&amp;".")-1)</f>
        <v/>
      </c>
    </row>
    <row r="7" ht="22.35" customHeight="1" s="21">
      <c r="A7" s="65" t="inlineStr">
        <is>
          <t>A1-Q1c.1</t>
        </is>
      </c>
      <c r="B7" s="66" t="inlineStr">
        <is>
          <t>A1</t>
        </is>
      </c>
      <c r="C7" s="67" t="inlineStr">
        <is>
          <t>Caminho de overrun</t>
        </is>
      </c>
      <c r="D7" s="67" t="inlineStr">
        <is>
          <t>InputDCLStaticOverrunCallback/InputDCLCallbackOverrun são stubs vazios; CheckDCLOverrun é código morto.</t>
        </is>
      </c>
      <c r="E7" s="66" t="inlineStr">
        <is>
          <t>Sim</t>
        </is>
      </c>
      <c r="F7" s="66" t="inlineStr">
        <is>
          <t>Não</t>
        </is>
      </c>
      <c r="G7" s="66" t="inlineStr">
        <is>
          <t>otool + Ghidra</t>
        </is>
      </c>
      <c r="H7" s="66" t="inlineStr">
        <is>
          <t>Não</t>
        </is>
      </c>
      <c r="I7" s="67" t="inlineStr">
        <is>
          <t>asm 0x2533a/0x25340; Ghidra</t>
        </is>
      </c>
      <c r="J7" s="66">
        <f>IF(TRIM(I7)="",0,LEN(I7)-LEN(SUBSTITUTE(I7,";",""))+1)</f>
        <v/>
      </c>
      <c r="K7" s="67" t="inlineStr">
        <is>
          <t>Consistente</t>
        </is>
      </c>
      <c r="L7" s="68">
        <f>ROUND(IF(H7="Sim",MIN(Legenda!$C$12,MIN(10,IF(E7="Sim",Legenda!$C$4,IF(E7="Parcial",Legenda!$C$5,0))+IF(F7="Sim",Legenda!$C$6,IF(F7="Parcial",Legenda!$C$7,0))+IF(G7="otool + Ghidra",Legenda!$C$8,IF(OR(G7="otool",G7="Ghidra",G7="Outro binário"),Legenda!$C$9,0))+MIN(Legenda!$C$11,MAX(0,J7-1)*Legenda!$C$10))),IF(H7="Parcial",MIN(Legenda!$C$13,MIN(10,IF(E7="Sim",Legenda!$C$4,IF(E7="Parcial",Legenda!$C$5,0))+IF(F7="Sim",Legenda!$C$6,IF(F7="Parcial",Legenda!$C$7,0))+IF(G7="otool + Ghidra",Legenda!$C$8,IF(OR(G7="otool",G7="Ghidra",G7="Outro binário"),Legenda!$C$9,0))+MIN(Legenda!$C$11,MAX(0,J7-1)*Legenda!$C$10))),MIN(10,IF(E7="Sim",Legenda!$C$4,IF(E7="Parcial",Legenda!$C$5,0))+IF(F7="Sim",Legenda!$C$6,IF(F7="Parcial",Legenda!$C$7,0))+IF(G7="otool + Ghidra",Legenda!$C$8,IF(OR(G7="otool",G7="Ghidra",G7="Outro binário"),Legenda!$C$9,0))+MIN(Legenda!$C$11,MAX(0,J7-1)*Legenda!$C$10)))),1)</f>
        <v/>
      </c>
      <c r="M7" s="67" t="inlineStr">
        <is>
          <t>A1-ghidra/Q1c-overrun-path.md</t>
        </is>
      </c>
      <c r="N7" s="67" t="inlineStr">
        <is>
          <t>—</t>
        </is>
      </c>
      <c r="O7" s="67" t="inlineStr">
        <is>
          <t>Verificado no audit (OK #19).</t>
        </is>
      </c>
      <c r="P7" s="69">
        <f>LEFT(A7,FIND(".",A7&amp;".")-1)</f>
        <v/>
      </c>
    </row>
    <row r="8" ht="22.35" customHeight="1" s="21">
      <c r="A8" s="65" t="inlineStr">
        <is>
          <t>A1-Q-DCL.1</t>
        </is>
      </c>
      <c r="B8" s="66" t="inlineStr">
        <is>
          <t>A1</t>
        </is>
      </c>
      <c r="C8" s="67" t="inlineStr">
        <is>
          <t>Anel DCL TX</t>
        </is>
      </c>
      <c r="D8" s="67" t="inlineStr">
        <is>
          <t>4 bancos × (4 primers de 1 pacote + 1 segmento de P−4 pacotes com callback) + 4 jumps = 20 segmentos; P = ⌊65.536.000/(4·taxa)⌋+2.</t>
        </is>
      </c>
      <c r="E8" s="66" t="inlineStr">
        <is>
          <t>Sim</t>
        </is>
      </c>
      <c r="F8" s="66" t="inlineStr">
        <is>
          <t>Não</t>
        </is>
      </c>
      <c r="G8" s="66" t="inlineStr">
        <is>
          <t>otool + Ghidra</t>
        </is>
      </c>
      <c r="H8" s="66" t="inlineStr">
        <is>
          <t>Não</t>
        </is>
      </c>
      <c r="I8" s="67" t="inlineStr">
        <is>
          <t>asm 0x25ae4, 0x27102..0x27133; Ghidra</t>
        </is>
      </c>
      <c r="J8" s="66">
        <f>IF(TRIM(I8)="",0,LEN(I8)-LEN(SUBSTITUTE(I8,";",""))+1)</f>
        <v/>
      </c>
      <c r="K8" s="67" t="inlineStr">
        <is>
          <t>Corrigido 2026-10-14</t>
        </is>
      </c>
      <c r="L8" s="68">
        <f>ROUND(IF(H8="Sim",MIN(Legenda!$C$12,MIN(10,IF(E8="Sim",Legenda!$C$4,IF(E8="Parcial",Legenda!$C$5,0))+IF(F8="Sim",Legenda!$C$6,IF(F8="Parcial",Legenda!$C$7,0))+IF(G8="otool + Ghidra",Legenda!$C$8,IF(OR(G8="otool",G8="Ghidra",G8="Outro binário"),Legenda!$C$9,0))+MIN(Legenda!$C$11,MAX(0,J8-1)*Legenda!$C$10))),IF(H8="Parcial",MIN(Legenda!$C$13,MIN(10,IF(E8="Sim",Legenda!$C$4,IF(E8="Parcial",Legenda!$C$5,0))+IF(F8="Sim",Legenda!$C$6,IF(F8="Parcial",Legenda!$C$7,0))+IF(G8="otool + Ghidra",Legenda!$C$8,IF(OR(G8="otool",G8="Ghidra",G8="Outro binário"),Legenda!$C$9,0))+MIN(Legenda!$C$11,MAX(0,J8-1)*Legenda!$C$10))),MIN(10,IF(E8="Sim",Legenda!$C$4,IF(E8="Parcial",Legenda!$C$5,0))+IF(F8="Sim",Legenda!$C$6,IF(F8="Parcial",Legenda!$C$7,0))+IF(G8="otool + Ghidra",Legenda!$C$8,IF(OR(G8="otool",G8="Ghidra",G8="Outro binário"),Legenda!$C$9,0))+MIN(Legenda!$C$11,MAX(0,J8-1)*Legenda!$C$10)))),1)</f>
        <v/>
      </c>
      <c r="M8" s="67" t="inlineStr">
        <is>
          <t>A1-ghidra/Q-DCL-geometry-table.md §Ring topology, §TX pkt-count</t>
        </is>
      </c>
      <c r="N8" s="67" t="inlineStr">
        <is>
          <t>C1:140</t>
        </is>
      </c>
      <c r="O8" s="67" t="inlineStr">
        <is>
          <t>Verificado (OK #21). C1 ainda diz 64 segmentos TX.</t>
        </is>
      </c>
      <c r="P8" s="69">
        <f>LEFT(A8,FIND(".",A8&amp;".")-1)</f>
        <v/>
      </c>
    </row>
    <row r="9" ht="22.35" customHeight="1" s="21">
      <c r="A9" s="65" t="inlineStr">
        <is>
          <t>A1-Q-DCL.2</t>
        </is>
      </c>
      <c r="B9" s="66" t="inlineStr">
        <is>
          <t>A1</t>
        </is>
      </c>
      <c r="C9" s="67" t="inlineStr">
        <is>
          <t>Arenas e páginas do pool</t>
        </is>
      </c>
      <c r="D9" s="67" t="inlineStr">
        <is>
          <t>Arena TX 0x14000, RX 0x10000; páginas do pool por taxa; possível estouro da arena TX a 32 kHz.</t>
        </is>
      </c>
      <c r="E9" s="66" t="inlineStr">
        <is>
          <t>Sim</t>
        </is>
      </c>
      <c r="F9" s="66" t="inlineStr">
        <is>
          <t>Não</t>
        </is>
      </c>
      <c r="G9" s="66" t="inlineStr">
        <is>
          <t>otool</t>
        </is>
      </c>
      <c r="H9" s="66" t="inlineStr">
        <is>
          <t>Parcial</t>
        </is>
      </c>
      <c r="I9" s="67" t="inlineStr">
        <is>
          <t>asm 0x25b22, 0xa45c; Q17</t>
        </is>
      </c>
      <c r="J9" s="66">
        <f>IF(TRIM(I9)="",0,LEN(I9)-LEN(SUBSTITUTE(I9,";",""))+1)</f>
        <v/>
      </c>
      <c r="K9" s="67" t="inlineStr">
        <is>
          <t>Corrigido 2026-10-14</t>
        </is>
      </c>
      <c r="L9" s="68">
        <f>ROUND(IF(H9="Sim",MIN(Legenda!$C$12,MIN(10,IF(E9="Sim",Legenda!$C$4,IF(E9="Parcial",Legenda!$C$5,0))+IF(F9="Sim",Legenda!$C$6,IF(F9="Parcial",Legenda!$C$7,0))+IF(G9="otool + Ghidra",Legenda!$C$8,IF(OR(G9="otool",G9="Ghidra",G9="Outro binário"),Legenda!$C$9,0))+MIN(Legenda!$C$11,MAX(0,J9-1)*Legenda!$C$10))),IF(H9="Parcial",MIN(Legenda!$C$13,MIN(10,IF(E9="Sim",Legenda!$C$4,IF(E9="Parcial",Legenda!$C$5,0))+IF(F9="Sim",Legenda!$C$6,IF(F9="Parcial",Legenda!$C$7,0))+IF(G9="otool + Ghidra",Legenda!$C$8,IF(OR(G9="otool",G9="Ghidra",G9="Outro binário"),Legenda!$C$9,0))+MIN(Legenda!$C$11,MAX(0,J9-1)*Legenda!$C$10))),MIN(10,IF(E9="Sim",Legenda!$C$4,IF(E9="Parcial",Legenda!$C$5,0))+IF(F9="Sim",Legenda!$C$6,IF(F9="Parcial",Legenda!$C$7,0))+IF(G9="otool + Ghidra",Legenda!$C$8,IF(OR(G9="otool",G9="Ghidra",G9="Outro binário"),Legenda!$C$9,0))+MIN(Legenda!$C$11,MAX(0,J9-1)*Legenda!$C$10)))),1)</f>
        <v/>
      </c>
      <c r="M9" s="67" t="inlineStr">
        <is>
          <t>A1-ghidra/Q-DCL-geometry-table.md §Pool, §Non-blocking follow-ups</t>
        </is>
      </c>
      <c r="N9" s="67" t="inlineStr">
        <is>
          <t>C4:455,464</t>
        </is>
      </c>
      <c r="O9" s="67" t="inlineStr">
        <is>
          <t>Fórmula e máscara física confirmadas no asm (0xa3e6..0xa49e); significado de [+0x18] e crescimento real continuam não verificados. Ver PROVENANCE-RESOLUTIONS.md §R8.</t>
        </is>
      </c>
      <c r="P9" s="69">
        <f>LEFT(A9,FIND(".",A9&amp;".")-1)</f>
        <v/>
      </c>
    </row>
    <row r="10" ht="22.35" customHeight="1" s="21">
      <c r="A10" s="65" t="inlineStr">
        <is>
          <t>A1-Q2.1</t>
        </is>
      </c>
      <c r="B10" s="66" t="inlineStr">
        <is>
          <t>A1</t>
        </is>
      </c>
      <c r="C10" s="67" t="inlineStr">
        <is>
          <t>Campos do SetupCIP</t>
        </is>
      </c>
      <c r="D10" s="67" t="inlineStr">
        <is>
          <t>+0x4a0 = taxa (Hz); +0x4ac = SYTInterval; +0x4a8 = SYTIncrement; +0x4a4 = FDFValue (registradores esi/edx/ecx/r8d).</t>
        </is>
      </c>
      <c r="E10" s="66" t="inlineStr">
        <is>
          <t>Sim</t>
        </is>
      </c>
      <c r="F10" s="66" t="inlineStr">
        <is>
          <t>Não</t>
        </is>
      </c>
      <c r="G10" s="66" t="inlineStr">
        <is>
          <t>otool + Ghidra</t>
        </is>
      </c>
      <c r="H10" s="66" t="inlineStr">
        <is>
          <t>Não</t>
        </is>
      </c>
      <c r="I10" s="67" t="inlineStr">
        <is>
          <t>asm 0x27102..0x27157; Ghidra</t>
        </is>
      </c>
      <c r="J10" s="66">
        <f>IF(TRIM(I10)="",0,LEN(I10)-LEN(SUBSTITUTE(I10,";",""))+1)</f>
        <v/>
      </c>
      <c r="K10" s="67" t="inlineStr">
        <is>
          <t>Corrigido 2026-10-14</t>
        </is>
      </c>
      <c r="L10" s="68">
        <f>ROUND(IF(H10="Sim",MIN(Legenda!$C$12,MIN(10,IF(E10="Sim",Legenda!$C$4,IF(E10="Parcial",Legenda!$C$5,0))+IF(F10="Sim",Legenda!$C$6,IF(F10="Parcial",Legenda!$C$7,0))+IF(G10="otool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binário"),Legenda!$C$9,0))+MIN(Legenda!$C$11,MAX(0,J10-1)*Legenda!$C$10))),IF(H10="Parcial",MIN(Legenda!$C$13,MIN(10,IF(E10="Sim",Legenda!$C$4,IF(E10="Parcial",Legenda!$C$5,0))+IF(F10="Sim",Legenda!$C$6,IF(F10="Parcial",Legenda!$C$7,0))+IF(G10="otool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binário"),Legenda!$C$9,0))+MIN(Legenda!$C$11,MAX(0,J10-1)*Legenda!$C$10))),MIN(10,IF(E10="Sim",Legenda!$C$4,IF(E10="Parcial",Legenda!$C$5,0))+IF(F10="Sim",Legenda!$C$6,IF(F10="Parcial",Legenda!$C$7,0))+IF(G10="otool + Ghidra",Legenda!$C$8,IF(OR(G10="otool",G10="Ghidra",G10="Outro binário"),Legenda!$C$9,0))+MIN(Legenda!$C$11,MAX(0,J10-1)*Legenda!$C$10)))),1)</f>
        <v/>
      </c>
      <c r="M10" s="67" t="inlineStr">
        <is>
          <t>A1-ghidra/Q2-setupcip-rate-table.md (tabela de campos); Q15e §3</t>
        </is>
      </c>
      <c r="N10" s="67" t="inlineStr">
        <is>
          <t>—</t>
        </is>
      </c>
      <c r="O10" s="67" t="inlineStr">
        <is>
          <t>Ghidra numera os parâmetros com deslocamento de 1; vale o asm.</t>
        </is>
      </c>
      <c r="P10" s="69">
        <f>LEFT(A10,FIND(".",A10&amp;".")-1)</f>
        <v/>
      </c>
    </row>
    <row r="11" ht="22.35" customHeight="1" s="21">
      <c r="A11" s="65" t="inlineStr">
        <is>
          <t>A1-Q2.2</t>
        </is>
      </c>
      <c r="B11" s="66" t="inlineStr">
        <is>
          <t>A1</t>
        </is>
      </c>
      <c r="C11" s="67" t="inlineStr">
        <is>
          <t>Cabeçalho CIP 1</t>
        </is>
      </c>
      <c r="D11" s="67" t="inlineStr">
        <is>
          <t>(nodeID&amp;0x3f)&lt;&lt;24 | DBS&lt;&lt;16, com DBS = [+0x64]+[+0x68] (quadlets áudio+MIDI), sem máscara.</t>
        </is>
      </c>
      <c r="E11" s="66" t="inlineStr">
        <is>
          <t>Sim</t>
        </is>
      </c>
      <c r="F11" s="66" t="inlineStr">
        <is>
          <t>Não</t>
        </is>
      </c>
      <c r="G11" s="66" t="inlineStr">
        <is>
          <t>otool</t>
        </is>
      </c>
      <c r="H11" s="66" t="inlineStr">
        <is>
          <t>Não</t>
        </is>
      </c>
      <c r="I11" s="67" t="inlineStr">
        <is>
          <t>asm 0x27173..0x2718e</t>
        </is>
      </c>
      <c r="J11" s="66">
        <f>IF(TRIM(I11)="",0,LEN(I11)-LEN(SUBSTITUTE(I11,";",""))+1)</f>
        <v/>
      </c>
      <c r="K11" s="67" t="inlineStr">
        <is>
          <t>Corrigido 2026-10-14</t>
        </is>
      </c>
      <c r="L11" s="68">
        <f>ROUND(IF(H11="Sim",MIN(Legenda!$C$12,MIN(10,IF(E11="Sim",Legenda!$C$4,IF(E11="Parcial",Legenda!$C$5,0))+IF(F11="Sim",Legenda!$C$6,IF(F11="Parcial",Legenda!$C$7,0))+IF(G11="otool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binário"),Legenda!$C$9,0))+MIN(Legenda!$C$11,MAX(0,J11-1)*Legenda!$C$10))),IF(H11="Parcial",MIN(Legenda!$C$13,MIN(10,IF(E11="Sim",Legenda!$C$4,IF(E11="Parcial",Legenda!$C$5,0))+IF(F11="Sim",Legenda!$C$6,IF(F11="Parcial",Legenda!$C$7,0))+IF(G11="otool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binário"),Legenda!$C$9,0))+MIN(Legenda!$C$11,MAX(0,J11-1)*Legenda!$C$10))),MIN(10,IF(E11="Sim",Legenda!$C$4,IF(E11="Parcial",Legenda!$C$5,0))+IF(F11="Sim",Legenda!$C$6,IF(F11="Parcial",Legenda!$C$7,0))+IF(G11="otool + Ghidra",Legenda!$C$8,IF(OR(G11="otool",G11="Ghidra",G11="Outro binário"),Legenda!$C$9,0))+MIN(Legenda!$C$11,MAX(0,J11-1)*Legenda!$C$10)))),1)</f>
        <v/>
      </c>
      <c r="M11" s="67" t="inlineStr">
        <is>
          <t>Q2 (linha +0x498); C2:232,331</t>
        </is>
      </c>
      <c r="N11" s="67" t="inlineStr">
        <is>
          <t>C2:232,331</t>
        </is>
      </c>
      <c r="O11" s="67" t="inlineStr">
        <is>
          <t>Q2/C2 ainda dizem (hubID&lt;&lt;24)|((dbc_start&lt;&lt;16)&amp;0x3F0000). [2026-10-14] Bloco Correction inserido nos .md; evidência em docs/system-map/PROVENANCE-RESOLUTIONS.md.</t>
        </is>
      </c>
      <c r="P11" s="69">
        <f>LEFT(A11,FIND(".",A11&amp;".")-1)</f>
        <v/>
      </c>
    </row>
    <row r="12" ht="22.35" customHeight="1" s="21">
      <c r="A12" s="65" t="inlineStr">
        <is>
          <t>A1-Q2.3</t>
        </is>
      </c>
      <c r="B12" s="66" t="inlineStr">
        <is>
          <t>A1</t>
        </is>
      </c>
      <c r="C12" s="67" t="inlineStr">
        <is>
          <t>Cabeçalho CIP 2</t>
        </is>
      </c>
      <c r="D12" s="67" t="inlineStr">
        <is>
          <t>Template 0x90000000 (EOH/FMT do quadlet CIP 2), não bits de tag/canal do cabeçalho isoch.</t>
        </is>
      </c>
      <c r="E12" s="66" t="inlineStr">
        <is>
          <t>Sim</t>
        </is>
      </c>
      <c r="F12" s="66" t="inlineStr">
        <is>
          <t>Não</t>
        </is>
      </c>
      <c r="G12" s="66" t="inlineStr">
        <is>
          <t>otool</t>
        </is>
      </c>
      <c r="H12" s="66" t="inlineStr">
        <is>
          <t>Não</t>
        </is>
      </c>
      <c r="I12" s="67" t="inlineStr">
        <is>
          <t>asm 0x27195; IEC 61883-1</t>
        </is>
      </c>
      <c r="J12" s="66">
        <f>IF(TRIM(I12)="",0,LEN(I12)-LEN(SUBSTITUTE(I12,";",""))+1)</f>
        <v/>
      </c>
      <c r="K12" s="67" t="inlineStr">
        <is>
          <t>Corrigido 2026-10-14</t>
        </is>
      </c>
      <c r="L12" s="68">
        <f>ROUND(IF(H12="Sim",MIN(Legenda!$C$12,MIN(10,IF(E12="Sim",Legenda!$C$4,IF(E12="Parcial",Legenda!$C$5,0))+IF(F12="Sim",Legenda!$C$6,IF(F12="Parcial",Legenda!$C$7,0))+IF(G12="otool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binário"),Legenda!$C$9,0))+MIN(Legenda!$C$11,MAX(0,J12-1)*Legenda!$C$10))),IF(H12="Parcial",MIN(Legenda!$C$13,MIN(10,IF(E12="Sim",Legenda!$C$4,IF(E12="Parcial",Legenda!$C$5,0))+IF(F12="Sim",Legenda!$C$6,IF(F12="Parcial",Legenda!$C$7,0))+IF(G12="otool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binário"),Legenda!$C$9,0))+MIN(Legenda!$C$11,MAX(0,J12-1)*Legenda!$C$10))),MIN(10,IF(E12="Sim",Legenda!$C$4,IF(E12="Parcial",Legenda!$C$5,0))+IF(F12="Sim",Legenda!$C$6,IF(F12="Parcial",Legenda!$C$7,0))+IF(G12="otool + Ghidra",Legenda!$C$8,IF(OR(G12="otool",G12="Ghidra",G12="Outro binário"),Legenda!$C$9,0))+MIN(Legenda!$C$11,MAX(0,J12-1)*Legenda!$C$10)))),1)</f>
        <v/>
      </c>
      <c r="M12" s="67" t="inlineStr">
        <is>
          <t>Q2; C2:232</t>
        </is>
      </c>
      <c r="N12" s="67" t="inlineStr">
        <is>
          <t>C2:232</t>
        </is>
      </c>
      <c r="O12" s="67" t="inlineStr">
        <is>
          <t>Valor correto; rótulo semântico errado em C2. [2026-10-14] Bloco Correction inserido nos .md; evidência em docs/system-map/PROVENANCE-RESOLUTIONS.md.</t>
        </is>
      </c>
      <c r="P12" s="69">
        <f>LEFT(A12,FIND(".",A12&amp;".")-1)</f>
        <v/>
      </c>
    </row>
    <row r="13" ht="22.35" customHeight="1" s="21">
      <c r="A13" s="65" t="inlineStr">
        <is>
          <t>A1-Q2.4</t>
        </is>
      </c>
      <c r="B13" s="66" t="inlineStr">
        <is>
          <t>A1</t>
        </is>
      </c>
      <c r="C13" s="67" t="inlineStr">
        <is>
          <t>Acumuladores SYT por FDF</t>
        </is>
      </c>
      <c r="D13" s="67" t="inlineStr">
        <is>
          <t>Tabela de salto 0x272d8: FDF 0 {1,2,1,1}; 1/3/5 {199,640,339,441}; 2/4/6 {1,4,1,1}; divisor = (c4−c0)·SYTInterval.</t>
        </is>
      </c>
      <c r="E13" s="66" t="inlineStr">
        <is>
          <t>Sim</t>
        </is>
      </c>
      <c r="F13" s="66" t="inlineStr">
        <is>
          <t>Não</t>
        </is>
      </c>
      <c r="G13" s="66" t="inlineStr">
        <is>
          <t>otool + Ghidra</t>
        </is>
      </c>
      <c r="H13" s="66" t="inlineStr">
        <is>
          <t>Não</t>
        </is>
      </c>
      <c r="I13" s="67" t="inlineStr">
        <is>
          <t>bytes da fatia 0x272d8; asm 0x2727e..0x272c6; Ghidra</t>
        </is>
      </c>
      <c r="J13" s="66">
        <f>IF(TRIM(I13)="",0,LEN(I13)-LEN(SUBSTITUTE(I13,";",""))+1)</f>
        <v/>
      </c>
      <c r="K13" s="67" t="inlineStr">
        <is>
          <t>Corrigido 2026-10-14</t>
        </is>
      </c>
      <c r="L13" s="68">
        <f>ROUND(IF(H13="Sim",MIN(Legenda!$C$12,MIN(10,IF(E13="Sim",Legenda!$C$4,IF(E13="Parcial",Legenda!$C$5,0))+IF(F13="Sim",Legenda!$C$6,IF(F13="Parcial",Legenda!$C$7,0))+IF(G13="otool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binário"),Legenda!$C$9,0))+MIN(Legenda!$C$11,MAX(0,J13-1)*Legenda!$C$10))),IF(H13="Parcial",MIN(Legenda!$C$13,MIN(10,IF(E13="Sim",Legenda!$C$4,IF(E13="Parcial",Legenda!$C$5,0))+IF(F13="Sim",Legenda!$C$6,IF(F13="Parcial",Legenda!$C$7,0))+IF(G13="otool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binário"),Legenda!$C$9,0))+MIN(Legenda!$C$11,MAX(0,J13-1)*Legenda!$C$10))),MIN(10,IF(E13="Sim",Legenda!$C$4,IF(E13="Parcial",Legenda!$C$5,0))+IF(F13="Sim",Legenda!$C$6,IF(F13="Parcial",Legenda!$C$7,0))+IF(G13="otool + Ghidra",Legenda!$C$8,IF(OR(G13="otool",G13="Ghidra",G13="Outro binário"),Legenda!$C$9,0))+MIN(Legenda!$C$11,MAX(0,J13-1)*Legenda!$C$10)))),1)</f>
        <v/>
      </c>
      <c r="M13" s="67" t="inlineStr">
        <is>
          <t>Q15e §3 Correction; Q2 (fórmula pós-switch)</t>
        </is>
      </c>
      <c r="N13" s="67" t="inlineStr">
        <is>
          <t>—</t>
        </is>
      </c>
      <c r="O13" s="67" t="inlineStr">
        <is>
          <t>Verificado (OK #13).</t>
        </is>
      </c>
      <c r="P13" s="69">
        <f>LEFT(A13,FIND(".",A13&amp;".")-1)</f>
        <v/>
      </c>
    </row>
    <row r="14" ht="22.35" customHeight="1" s="21">
      <c r="A14" s="65" t="inlineStr">
        <is>
          <t>A1-Q15e.1</t>
        </is>
      </c>
      <c r="B14" s="66" t="inlineStr">
        <is>
          <t>A1</t>
        </is>
      </c>
      <c r="C14" s="67" t="inlineStr">
        <is>
          <t>Tabela de taxas</t>
        </is>
      </c>
      <c r="D14" s="67" t="inlineStr">
        <is>
          <t>32k/44.1k/48k/88.2k/96k/176.4k/192k → FDF 0–6; SYT 8/8/8/16/16/32/32; CIP_INCREMENT 6144/4458/4096/4458/4096/4458/4096.</t>
        </is>
      </c>
      <c r="E14" s="66" t="inlineStr">
        <is>
          <t>Sim</t>
        </is>
      </c>
      <c r="F14" s="66" t="inlineStr">
        <is>
          <t>Não</t>
        </is>
      </c>
      <c r="G14" s="66" t="inlineStr">
        <is>
          <t>otool + Ghidra</t>
        </is>
      </c>
      <c r="H14" s="66" t="inlineStr">
        <is>
          <t>Não</t>
        </is>
      </c>
      <c r="I14" s="67" t="inlineStr">
        <is>
          <t>asm 0x2732a..0x273fe; Ghidra</t>
        </is>
      </c>
      <c r="J14" s="66">
        <f>IF(TRIM(I14)="",0,LEN(I14)-LEN(SUBSTITUTE(I14,";",""))+1)</f>
        <v/>
      </c>
      <c r="K14" s="67" t="inlineStr">
        <is>
          <t>Consistente</t>
        </is>
      </c>
      <c r="L14" s="68">
        <f>ROUND(IF(H14="Sim",MIN(Legenda!$C$12,MIN(10,IF(E14="Sim",Legenda!$C$4,IF(E14="Parcial",Legenda!$C$5,0))+IF(F14="Sim",Legenda!$C$6,IF(F14="Parcial",Legenda!$C$7,0))+IF(G14="otool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binário"),Legenda!$C$9,0))+MIN(Legenda!$C$11,MAX(0,J14-1)*Legenda!$C$10))),IF(H14="Parcial",MIN(Legenda!$C$13,MIN(10,IF(E14="Sim",Legenda!$C$4,IF(E14="Parcial",Legenda!$C$5,0))+IF(F14="Sim",Legenda!$C$6,IF(F14="Parcial",Legenda!$C$7,0))+IF(G14="otool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binário"),Legenda!$C$9,0))+MIN(Legenda!$C$11,MAX(0,J14-1)*Legenda!$C$10))),MIN(10,IF(E14="Sim",Legenda!$C$4,IF(E14="Parcial",Legenda!$C$5,0))+IF(F14="Sim",Legenda!$C$6,IF(F14="Parcial",Legenda!$C$7,0))+IF(G14="otool + Ghidra",Legenda!$C$8,IF(OR(G14="otool",G14="Ghidra",G14="Outro binário"),Legenda!$C$9,0))+MIN(Legenda!$C$11,MAX(0,J14-1)*Legenda!$C$10)))),1)</f>
        <v/>
      </c>
      <c r="M14" s="67" t="inlineStr">
        <is>
          <t>A1-ghidra/Q15e-syt-interval-format-change.md §1</t>
        </is>
      </c>
      <c r="N14" s="67" t="inlineStr">
        <is>
          <t>—</t>
        </is>
      </c>
      <c r="O14" s="67" t="inlineStr">
        <is>
          <t>Verificado (OK #12).</t>
        </is>
      </c>
      <c r="P14" s="69">
        <f>LEFT(A14,FIND(".",A14&amp;".")-1)</f>
        <v/>
      </c>
    </row>
    <row r="15" ht="22.35" customHeight="1" s="21">
      <c r="A15" s="65" t="inlineStr">
        <is>
          <t>A1-Q15e.2</t>
        </is>
      </c>
      <c r="B15" s="66" t="inlineStr">
        <is>
          <t>A1</t>
        </is>
      </c>
      <c r="C15" s="67" t="inlineStr">
        <is>
          <t>Coreografia do PerformFormatChange</t>
        </is>
      </c>
      <c r="D15" s="67" t="inlineStr">
        <is>
          <t>Sequência de 6 passos em FWEngine2::PerformFormatChange @0x124cc; AC3 ('cac3') força 48 kHz.</t>
        </is>
      </c>
      <c r="E15" s="66" t="inlineStr">
        <is>
          <t>Sim</t>
        </is>
      </c>
      <c r="F15" s="66" t="inlineStr">
        <is>
          <t>Não</t>
        </is>
      </c>
      <c r="G15" s="66" t="inlineStr">
        <is>
          <t>otool</t>
        </is>
      </c>
      <c r="H15" s="66" t="inlineStr">
        <is>
          <t>Parcial</t>
        </is>
      </c>
      <c r="I15" s="67" t="inlineStr">
        <is>
          <t>Ghidra; asm</t>
        </is>
      </c>
      <c r="J15" s="66">
        <f>IF(TRIM(I15)="",0,LEN(I15)-LEN(SUBSTITUTE(I15,";",""))+1)</f>
        <v/>
      </c>
      <c r="K15" s="67" t="inlineStr">
        <is>
          <t>Corrigido 2026-10-14</t>
        </is>
      </c>
      <c r="L15" s="68">
        <f>ROUND(IF(H15="Sim",MIN(Legenda!$C$12,MIN(10,IF(E15="Sim",Legenda!$C$4,IF(E15="Parcial",Legenda!$C$5,0))+IF(F15="Sim",Legenda!$C$6,IF(F15="Parcial",Legenda!$C$7,0))+IF(G15="otool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binário"),Legenda!$C$9,0))+MIN(Legenda!$C$11,MAX(0,J15-1)*Legenda!$C$10))),IF(H15="Parcial",MIN(Legenda!$C$13,MIN(10,IF(E15="Sim",Legenda!$C$4,IF(E15="Parcial",Legenda!$C$5,0))+IF(F15="Sim",Legenda!$C$6,IF(F15="Parcial",Legenda!$C$7,0))+IF(G15="otool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binário"),Legenda!$C$9,0))+MIN(Legenda!$C$11,MAX(0,J15-1)*Legenda!$C$10))),MIN(10,IF(E15="Sim",Legenda!$C$4,IF(E15="Parcial",Legenda!$C$5,0))+IF(F15="Sim",Legenda!$C$6,IF(F15="Parcial",Legenda!$C$7,0))+IF(G15="otool + Ghidra",Legenda!$C$8,IF(OR(G15="otool",G15="Ghidra",G15="Outro binário"),Legenda!$C$9,0))+MIN(Legenda!$C$11,MAX(0,J15-1)*Legenda!$C$10)))),1)</f>
        <v/>
      </c>
      <c r="M15" s="67" t="inlineStr">
        <is>
          <t>Q15e §4</t>
        </is>
      </c>
      <c r="N15" s="67" t="inlineStr">
        <is>
          <t>—</t>
        </is>
      </c>
      <c r="O15" s="67" t="inlineStr">
        <is>
          <t>Revisar os nomes de slot à luz de A1-Q15c.2. | Releitura do asm 0x124cc: passos 1/6 = pause/resumeAudioEngine do motor; passo 3 so quando fora de AC3; vt[0xce0] so se a taxa muda ou saindo de AC3; AC3 forca 48 kHz. Efeito no fio de RequestFormatUpdateForSampleRate (Rev1) nao decodificado. R13</t>
        </is>
      </c>
      <c r="P15" s="69">
        <f>LEFT(A15,FIND(".",A15&amp;".")-1)</f>
        <v/>
      </c>
    </row>
    <row r="16" ht="32.8" customHeight="1" s="21">
      <c r="A16" s="65" t="inlineStr">
        <is>
          <t>A1-Q15c.1</t>
        </is>
      </c>
      <c r="B16" s="66" t="inlineStr">
        <is>
          <t>A1</t>
        </is>
      </c>
      <c r="C16" s="67" t="inlineStr">
        <is>
          <t>Cadeia de mudança de formato</t>
        </is>
      </c>
      <c r="D16" s="67" t="inlineStr">
        <is>
          <t>CoreAudio → FWBaseEngine::performFormatChange @0x3e54 → runAction → FWEngine2::PerformFormatChange @0x124cc → RequestFormatUpdateForSampleRate @0x2a84 → SetIOFormat @0x42aa.</t>
        </is>
      </c>
      <c r="E16" s="66" t="inlineStr">
        <is>
          <t>Sim</t>
        </is>
      </c>
      <c r="F16" s="66" t="inlineStr">
        <is>
          <t>Não</t>
        </is>
      </c>
      <c r="G16" s="66" t="inlineStr">
        <is>
          <t>otool + Ghidra</t>
        </is>
      </c>
      <c r="H16" s="66" t="inlineStr">
        <is>
          <t>Não</t>
        </is>
      </c>
      <c r="I16" s="67" t="inlineStr">
        <is>
          <t>asm; Ghidra; vtables</t>
        </is>
      </c>
      <c r="J16" s="66">
        <f>IF(TRIM(I16)="",0,LEN(I16)-LEN(SUBSTITUTE(I16,";",""))+1)</f>
        <v/>
      </c>
      <c r="K16" s="67" t="inlineStr">
        <is>
          <t>Consistente</t>
        </is>
      </c>
      <c r="L16" s="68">
        <f>ROUND(IF(H16="Sim",MIN(Legenda!$C$12,MIN(10,IF(E16="Sim",Legenda!$C$4,IF(E16="Parcial",Legenda!$C$5,0))+IF(F16="Sim",Legenda!$C$6,IF(F16="Parcial",Legenda!$C$7,0))+IF(G16="otool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binário"),Legenda!$C$9,0))+MIN(Legenda!$C$11,MAX(0,J16-1)*Legenda!$C$10))),IF(H16="Parcial",MIN(Legenda!$C$13,MIN(10,IF(E16="Sim",Legenda!$C$4,IF(E16="Parcial",Legenda!$C$5,0))+IF(F16="Sim",Legenda!$C$6,IF(F16="Parcial",Legenda!$C$7,0))+IF(G16="otool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binário"),Legenda!$C$9,0))+MIN(Legenda!$C$11,MAX(0,J16-1)*Legenda!$C$10))),MIN(10,IF(E16="Sim",Legenda!$C$4,IF(E16="Parcial",Legenda!$C$5,0))+IF(F16="Sim",Legenda!$C$6,IF(F16="Parcial",Legenda!$C$7,0))+IF(G16="otool + Ghidra",Legenda!$C$8,IF(OR(G16="otool",G16="Ghidra",G16="Outro binário"),Legenda!$C$9,0))+MIN(Legenda!$C$11,MAX(0,J16-1)*Legenda!$C$10)))),1)</f>
        <v/>
      </c>
      <c r="M16" s="67" t="inlineStr">
        <is>
          <t>A1-ghidra/Q15c-changerate-performformat.md; C2 §4</t>
        </is>
      </c>
      <c r="N16" s="67" t="inlineStr">
        <is>
          <t>—</t>
        </is>
      </c>
      <c r="O16" s="67" t="inlineStr">
        <is>
          <t>Endereços verificados (OK #15).</t>
        </is>
      </c>
      <c r="P16" s="69">
        <f>LEFT(A16,FIND(".",A16&amp;".")-1)</f>
        <v/>
      </c>
    </row>
    <row r="17" ht="43.25" customHeight="1" s="21">
      <c r="A17" s="65" t="inlineStr">
        <is>
          <t>A1-Q15c.2</t>
        </is>
      </c>
      <c r="B17" s="66" t="inlineStr">
        <is>
          <t>A1</t>
        </is>
      </c>
      <c r="C17" s="67" t="inlineStr">
        <is>
          <t>Slots de vtable no SetIOFormat</t>
        </is>
      </c>
      <c r="D17" s="67" t="inlineStr">
        <is>
          <t>vt[0xce0] = FWEngine2::PerformSampleRateChangeCore @0x117e6; vt[0xaf8] = ResetRearrangementProcs @0xcad4; vt[0xb00/0xb08/0xb10] = begin/complete/cancelConfigurationChange (b10 só no erro); vt[0xb58] = setSampleRate.</t>
        </is>
      </c>
      <c r="E17" s="66" t="inlineStr">
        <is>
          <t>Sim</t>
        </is>
      </c>
      <c r="F17" s="66" t="inlineStr">
        <is>
          <t>Não</t>
        </is>
      </c>
      <c r="G17" s="66" t="inlineStr">
        <is>
          <t>otool</t>
        </is>
      </c>
      <c r="H17" s="66" t="inlineStr">
        <is>
          <t>Não</t>
        </is>
      </c>
      <c r="I17" s="67" t="inlineStr">
        <is>
          <t>bytes de vtable (0x391c0, 0x369b0); asm 0x435b, 0x43c7..0x43d4</t>
        </is>
      </c>
      <c r="J17" s="66">
        <f>IF(TRIM(I17)="",0,LEN(I17)-LEN(SUBSTITUTE(I17,";",""))+1)</f>
        <v/>
      </c>
      <c r="K17" s="67" t="inlineStr">
        <is>
          <t>Corrigido 2026-10-14</t>
        </is>
      </c>
      <c r="L17" s="68">
        <f>ROUND(IF(H17="Sim",MIN(Legenda!$C$12,MIN(10,IF(E17="Sim",Legenda!$C$4,IF(E17="Parcial",Legenda!$C$5,0))+IF(F17="Sim",Legenda!$C$6,IF(F17="Parcial",Legenda!$C$7,0))+IF(G17="otool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binário"),Legenda!$C$9,0))+MIN(Legenda!$C$11,MAX(0,J17-1)*Legenda!$C$10))),IF(H17="Parcial",MIN(Legenda!$C$13,MIN(10,IF(E17="Sim",Legenda!$C$4,IF(E17="Parcial",Legenda!$C$5,0))+IF(F17="Sim",Legenda!$C$6,IF(F17="Parcial",Legenda!$C$7,0))+IF(G17="otool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binário"),Legenda!$C$9,0))+MIN(Legenda!$C$11,MAX(0,J17-1)*Legenda!$C$10))),MIN(10,IF(E17="Sim",Legenda!$C$4,IF(E17="Parcial",Legenda!$C$5,0))+IF(F17="Sim",Legenda!$C$6,IF(F17="Parcial",Legenda!$C$7,0))+IF(G17="otool + Ghidra",Legenda!$C$8,IF(OR(G17="otool",G17="Ghidra",G17="Outro binário"),Legenda!$C$9,0))+MIN(Legenda!$C$11,MAX(0,J17-1)*Legenda!$C$10)))),1)</f>
        <v/>
      </c>
      <c r="M17" s="67" t="inlineStr">
        <is>
          <t>Q15c:33,47,52,54,55,59; C2:49-50,193-204; C4:234-251; C6:104-110; D:75,212</t>
        </is>
      </c>
      <c r="N17" s="67" t="inlineStr">
        <is>
          <t>Top-15 #2, #3, #4</t>
        </is>
      </c>
      <c r="O17" s="67" t="inlineStr">
        <is>
          <t>Raiz da maioria dos erros nos docs C. vt[0xce0] reconferido em 2026-10-14. [2026-10-14] Bloco Correction inserido nos .md; evidência em docs/system-map/PROVENANCE-RESOLUTIONS.md.</t>
        </is>
      </c>
      <c r="P17" s="69">
        <f>LEFT(A17,FIND(".",A17&amp;".")-1)</f>
        <v/>
      </c>
    </row>
    <row r="18" ht="22.35" customHeight="1" s="21">
      <c r="A18" s="65" t="inlineStr">
        <is>
          <t>A1-Q15c.3</t>
        </is>
      </c>
      <c r="B18" s="66" t="inlineStr">
        <is>
          <t>A1</t>
        </is>
      </c>
      <c r="C18" s="67" t="inlineStr">
        <is>
          <t>vt[0xa50] / vt[0xa58]</t>
        </is>
      </c>
      <c r="D18" s="67" t="inlineStr">
        <is>
          <t>pauseAudioEngine @0x3d54 / resumeAudioEngine @0x3dae (os docs dizem Acquire/Release de lock).</t>
        </is>
      </c>
      <c r="E18" s="66" t="inlineStr">
        <is>
          <t>Sim</t>
        </is>
      </c>
      <c r="F18" s="66" t="inlineStr">
        <is>
          <t>Não</t>
        </is>
      </c>
      <c r="G18" s="66" t="inlineStr">
        <is>
          <t>otool</t>
        </is>
      </c>
      <c r="H18" s="66" t="inlineStr">
        <is>
          <t>Não</t>
        </is>
      </c>
      <c r="I18" s="67" t="inlineStr">
        <is>
          <t>vtable FWEngine2</t>
        </is>
      </c>
      <c r="J18" s="66">
        <f>IF(TRIM(I18)="",0,LEN(I18)-LEN(SUBSTITUTE(I18,";",""))+1)</f>
        <v/>
      </c>
      <c r="K18" s="67" t="inlineStr">
        <is>
          <t>Corrigido 2026-10-14</t>
        </is>
      </c>
      <c r="L18" s="68">
        <f>ROUND(IF(H18="Sim",MIN(Legenda!$C$12,MIN(10,IF(E18="Sim",Legenda!$C$4,IF(E18="Parcial",Legenda!$C$5,0))+IF(F18="Sim",Legenda!$C$6,IF(F18="Parcial",Legenda!$C$7,0))+IF(G18="otool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binário"),Legenda!$C$9,0))+MIN(Legenda!$C$11,MAX(0,J18-1)*Legenda!$C$10))),IF(H18="Parcial",MIN(Legenda!$C$13,MIN(10,IF(E18="Sim",Legenda!$C$4,IF(E18="Parcial",Legenda!$C$5,0))+IF(F18="Sim",Legenda!$C$6,IF(F18="Parcial",Legenda!$C$7,0))+IF(G18="otool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binário"),Legenda!$C$9,0))+MIN(Legenda!$C$11,MAX(0,J18-1)*Legenda!$C$10))),MIN(10,IF(E18="Sim",Legenda!$C$4,IF(E18="Parcial",Legenda!$C$5,0))+IF(F18="Sim",Legenda!$C$6,IF(F18="Parcial",Legenda!$C$7,0))+IF(G18="otool + Ghidra",Legenda!$C$8,IF(OR(G18="otool",G18="Ghidra",G18="Outro binário"),Legenda!$C$9,0))+MIN(Legenda!$C$11,MAX(0,J18-1)*Legenda!$C$10)))),1)</f>
        <v/>
      </c>
      <c r="M18" s="67" t="inlineStr">
        <is>
          <t>Q15c:26,35,147-148</t>
        </is>
      </c>
      <c r="N18" s="67" t="inlineStr">
        <is>
          <t>Q15c:26,35</t>
        </is>
      </c>
      <c r="O18" s="67" t="inlineStr">
        <is>
          <t>— [2026-10-14] Bloco Correction inserido nos .md; evidência em docs/system-map/PROVENANCE-RESOLUTIONS.md.</t>
        </is>
      </c>
      <c r="P18" s="69">
        <f>LEFT(A18,FIND(".",A18&amp;".")-1)</f>
        <v/>
      </c>
    </row>
    <row r="19" ht="32.8" customHeight="1" s="21">
      <c r="A19" s="65" t="inlineStr">
        <is>
          <t>A1-Q15c.4</t>
        </is>
      </c>
      <c r="B19" s="66" t="inlineStr">
        <is>
          <t>A1</t>
        </is>
      </c>
      <c r="C19" s="67" t="inlineStr">
        <is>
          <t>Canais por modo vs SYT</t>
        </is>
      </c>
      <c r="D19" s="67" t="inlineStr">
        <is>
          <t>Engine [+0x224] = 8/16/32 é o SYTInterval, não contagem de canais. Canais vêm das tabelas estáticas: sSPDIF44_96 10/10/6/6, sADAT44_48 16/16/12/12, sADAT88_96 12/12/8/8, s176_192 2/2/4/4.</t>
        </is>
      </c>
      <c r="E19" s="66" t="inlineStr">
        <is>
          <t>Sim</t>
        </is>
      </c>
      <c r="F19" s="66" t="inlineStr">
        <is>
          <t>Não</t>
        </is>
      </c>
      <c r="G19" s="66" t="inlineStr">
        <is>
          <t>otool</t>
        </is>
      </c>
      <c r="H19" s="66" t="inlineStr">
        <is>
          <t>Não</t>
        </is>
      </c>
      <c r="I19" s="67" t="inlineStr">
        <is>
          <t>asm 0x47f2..0x48ad; tabelas 0x363c0/0x364a0/0x36580/0x4ab80; snd-bebob</t>
        </is>
      </c>
      <c r="J19" s="66">
        <f>IF(TRIM(I19)="",0,LEN(I19)-LEN(SUBSTITUTE(I19,";",""))+1)</f>
        <v/>
      </c>
      <c r="K19" s="67" t="inlineStr">
        <is>
          <t>Corrigido 2026-10-14</t>
        </is>
      </c>
      <c r="L19" s="68">
        <f>ROUND(IF(H19="Sim",MIN(Legenda!$C$12,MIN(10,IF(E19="Sim",Legenda!$C$4,IF(E19="Parcial",Legenda!$C$5,0))+IF(F19="Sim",Legenda!$C$6,IF(F19="Parcial",Legenda!$C$7,0))+IF(G19="otool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binário"),Legenda!$C$9,0))+MIN(Legenda!$C$11,MAX(0,J19-1)*Legenda!$C$10))),IF(H19="Parcial",MIN(Legenda!$C$13,MIN(10,IF(E19="Sim",Legenda!$C$4,IF(E19="Parcial",Legenda!$C$5,0))+IF(F19="Sim",Legenda!$C$6,IF(F19="Parcial",Legenda!$C$7,0))+IF(G19="otool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binário"),Legenda!$C$9,0))+MIN(Legenda!$C$11,MAX(0,J19-1)*Legenda!$C$10))),MIN(10,IF(E19="Sim",Legenda!$C$4,IF(E19="Parcial",Legenda!$C$5,0))+IF(F19="Sim",Legenda!$C$6,IF(F19="Parcial",Legenda!$C$7,0))+IF(G19="otool + Ghidra",Legenda!$C$8,IF(OR(G19="otool",G19="Ghidra",G19="Outro binário"),Legenda!$C$9,0))+MIN(Legenda!$C$11,MAX(0,J19-1)*Legenda!$C$10)))),1)</f>
        <v/>
      </c>
      <c r="M19" s="67" t="inlineStr">
        <is>
          <t>Q15c:70-76,133-138,162; C2:216-226; C6:75,166</t>
        </is>
      </c>
      <c r="N19" s="67" t="inlineStr">
        <is>
          <t>C2:216-226; C6:75,166</t>
        </is>
      </c>
      <c r="O19" s="67" t="inlineStr">
        <is>
          <t>C4 §2 já bate com as tabelas; corrigir C2 §5 e C6. [2026-10-14] Bloco Correction inserido nos .md; evidência em docs/system-map/PROVENANCE-RESOLUTIONS.md.</t>
        </is>
      </c>
      <c r="P19" s="69">
        <f>LEFT(A19,FIND(".",A19&amp;".")-1)</f>
        <v/>
      </c>
    </row>
    <row r="20" ht="22.35" customHeight="1" s="21">
      <c r="A20" s="65" t="inlineStr">
        <is>
          <t>A1-Q15c.5</t>
        </is>
      </c>
      <c r="B20" s="66" t="inlineStr">
        <is>
          <t>A1</t>
        </is>
      </c>
      <c r="C20" s="67" t="inlineStr">
        <is>
          <t>Engine [+0x228] = FDFValue</t>
        </is>
      </c>
      <c r="D20" s="67" t="inlineStr">
        <is>
          <t>Enum 0–6 escrito por taxa em PerformSampleRateChangeCore; coincide com o código SFC do IEC 61883-6.</t>
        </is>
      </c>
      <c r="E20" s="66" t="inlineStr">
        <is>
          <t>Sim</t>
        </is>
      </c>
      <c r="F20" s="66" t="inlineStr">
        <is>
          <t>Não</t>
        </is>
      </c>
      <c r="G20" s="66" t="inlineStr">
        <is>
          <t>otool</t>
        </is>
      </c>
      <c r="H20" s="66" t="inlineStr">
        <is>
          <t>Não</t>
        </is>
      </c>
      <c r="I20" s="67" t="inlineStr">
        <is>
          <t>asm 0x47fc..0x48b7</t>
        </is>
      </c>
      <c r="J20" s="66">
        <f>IF(TRIM(I20)="",0,LEN(I20)-LEN(SUBSTITUTE(I20,";",""))+1)</f>
        <v/>
      </c>
      <c r="K20" s="67" t="inlineStr">
        <is>
          <t>Corrigido 2026-10-14</t>
        </is>
      </c>
      <c r="L20" s="68">
        <f>ROUND(IF(H20="Sim",MIN(Legenda!$C$12,MIN(10,IF(E20="Sim",Legenda!$C$4,IF(E20="Parcial",Legenda!$C$5,0))+IF(F20="Sim",Legenda!$C$6,IF(F20="Parcial",Legenda!$C$7,0))+IF(G20="otool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binário"),Legenda!$C$9,0))+MIN(Legenda!$C$11,MAX(0,J20-1)*Legenda!$C$10))),IF(H20="Parcial",MIN(Legenda!$C$13,MIN(10,IF(E20="Sim",Legenda!$C$4,IF(E20="Parcial",Legenda!$C$5,0))+IF(F20="Sim",Legenda!$C$6,IF(F20="Parcial",Legenda!$C$7,0))+IF(G20="otool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binário"),Legenda!$C$9,0))+MIN(Legenda!$C$11,MAX(0,J20-1)*Legenda!$C$10))),MIN(10,IF(E20="Sim",Legenda!$C$4,IF(E20="Parcial",Legenda!$C$5,0))+IF(F20="Sim",Legenda!$C$6,IF(F20="Parcial",Legenda!$C$7,0))+IF(G20="otool + Ghidra",Legenda!$C$8,IF(OR(G20="otool",G20="Ghidra",G20="Outro binário"),Legenda!$C$9,0))+MIN(Legenda!$C$11,MAX(0,J20-1)*Legenda!$C$10)))),1)</f>
        <v/>
      </c>
      <c r="M20" s="67" t="inlineStr">
        <is>
          <t>Q3a §3 Correction</t>
        </is>
      </c>
      <c r="N20" s="67" t="inlineStr">
        <is>
          <t>—</t>
        </is>
      </c>
      <c r="O20" s="67" t="inlineStr">
        <is>
          <t>Antes lido como 'canal isoch' em Q3a.</t>
        </is>
      </c>
      <c r="P20" s="69">
        <f>LEFT(A20,FIND(".",A20&amp;".")-1)</f>
        <v/>
      </c>
    </row>
    <row r="21" ht="22.35" customHeight="1" s="21">
      <c r="A21" s="65" t="inlineStr">
        <is>
          <t>A1-Q15d.1</t>
        </is>
      </c>
      <c r="B21" s="66" t="inlineStr">
        <is>
          <t>A1</t>
        </is>
      </c>
      <c r="C21" s="67" t="inlineStr">
        <is>
          <t>MARateLocked</t>
        </is>
      </c>
      <c r="D21" s="67" t="inlineStr">
        <is>
          <t>Dois escritores (initHardware, DetectExternalSyncChanges) e zero leitores: rótulo de UI cosmético.</t>
        </is>
      </c>
      <c r="E21" s="66" t="inlineStr">
        <is>
          <t>Sim</t>
        </is>
      </c>
      <c r="F21" s="66" t="inlineStr">
        <is>
          <t>Não</t>
        </is>
      </c>
      <c r="G21" s="66" t="inlineStr">
        <is>
          <t>otool + Ghidra</t>
        </is>
      </c>
      <c r="H21" s="66" t="inlineStr">
        <is>
          <t>Não</t>
        </is>
      </c>
      <c r="I21" s="67" t="inlineStr">
        <is>
          <t>asm mafw.asm:2068/2074/2800; Ghidra</t>
        </is>
      </c>
      <c r="J21" s="66">
        <f>IF(TRIM(I21)="",0,LEN(I21)-LEN(SUBSTITUTE(I21,";",""))+1)</f>
        <v/>
      </c>
      <c r="K21" s="67" t="inlineStr">
        <is>
          <t>Consistente</t>
        </is>
      </c>
      <c r="L21" s="68">
        <f>ROUND(IF(H21="Sim",MIN(Legenda!$C$12,MIN(10,IF(E21="Sim",Legenda!$C$4,IF(E21="Parcial",Legenda!$C$5,0))+IF(F21="Sim",Legenda!$C$6,IF(F21="Parcial",Legenda!$C$7,0))+IF(G21="otool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binário"),Legenda!$C$9,0))+MIN(Legenda!$C$11,MAX(0,J21-1)*Legenda!$C$10))),IF(H21="Parcial",MIN(Legenda!$C$13,MIN(10,IF(E21="Sim",Legenda!$C$4,IF(E21="Parcial",Legenda!$C$5,0))+IF(F21="Sim",Legenda!$C$6,IF(F21="Parcial",Legenda!$C$7,0))+IF(G21="otool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binário"),Legenda!$C$9,0))+MIN(Legenda!$C$11,MAX(0,J21-1)*Legenda!$C$10))),MIN(10,IF(E21="Sim",Legenda!$C$4,IF(E21="Parcial",Legenda!$C$5,0))+IF(F21="Sim",Legenda!$C$6,IF(F21="Parcial",Legenda!$C$7,0))+IF(G21="otool + Ghidra",Legenda!$C$8,IF(OR(G21="otool",G21="Ghidra",G21="Outro binário"),Legenda!$C$9,0))+MIN(Legenda!$C$11,MAX(0,J21-1)*Legenda!$C$10)))),1)</f>
        <v/>
      </c>
      <c r="M21" s="67" t="inlineStr">
        <is>
          <t>A1-ghidra/Q15d-marateLocked-xref.md</t>
        </is>
      </c>
      <c r="N21" s="67" t="inlineStr">
        <is>
          <t>—</t>
        </is>
      </c>
      <c r="O21" s="67" t="inlineStr">
        <is>
          <t>'@0x3644' e '@0x2bc3' são pontos no meio das funções.</t>
        </is>
      </c>
      <c r="P21" s="69">
        <f>LEFT(A21,FIND(".",A21&amp;".")-1)</f>
        <v/>
      </c>
    </row>
    <row r="22" ht="22.35" customHeight="1" s="21">
      <c r="A22" s="65" t="inlineStr">
        <is>
          <t>A1-Q3.1</t>
        </is>
      </c>
      <c r="B22" s="66" t="inlineStr">
        <is>
          <t>A1</t>
        </is>
      </c>
      <c r="C22" s="67" t="inlineStr">
        <is>
          <t>ConnectAllPlugs</t>
        </is>
      </c>
      <c r="D22" s="67" t="inlineStr">
        <is>
          <t>Gate [+0x2d3] + SufficientBandwidthAvailable → ConnectAudioMIDIChannels; retorna 0xE00002BC se já conectado, 0xE00002BE sem banda.</t>
        </is>
      </c>
      <c r="E22" s="66" t="inlineStr">
        <is>
          <t>Sim</t>
        </is>
      </c>
      <c r="F22" s="66" t="inlineStr">
        <is>
          <t>Não</t>
        </is>
      </c>
      <c r="G22" s="66" t="inlineStr">
        <is>
          <t>otool + Ghidra</t>
        </is>
      </c>
      <c r="H22" s="66" t="inlineStr">
        <is>
          <t>Não</t>
        </is>
      </c>
      <c r="I22" s="67" t="inlineStr">
        <is>
          <t>asm 0x12476..0x12488; Ghidra</t>
        </is>
      </c>
      <c r="J22" s="66">
        <f>IF(TRIM(I22)="",0,LEN(I22)-LEN(SUBSTITUTE(I22,";",""))+1)</f>
        <v/>
      </c>
      <c r="K22" s="67" t="inlineStr">
        <is>
          <t>Corrigido 2026-10-14</t>
        </is>
      </c>
      <c r="L22" s="68">
        <f>ROUND(IF(H22="Sim",MIN(Legenda!$C$12,MIN(10,IF(E22="Sim",Legenda!$C$4,IF(E22="Parcial",Legenda!$C$5,0))+IF(F22="Sim",Legenda!$C$6,IF(F22="Parcial",Legenda!$C$7,0))+IF(G22="otool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binário"),Legenda!$C$9,0))+MIN(Legenda!$C$11,MAX(0,J22-1)*Legenda!$C$10))),IF(H22="Parcial",MIN(Legenda!$C$13,MIN(10,IF(E22="Sim",Legenda!$C$4,IF(E22="Parcial",Legenda!$C$5,0))+IF(F22="Sim",Legenda!$C$6,IF(F22="Parcial",Legenda!$C$7,0))+IF(G22="otool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binário"),Legenda!$C$9,0))+MIN(Legenda!$C$11,MAX(0,J22-1)*Legenda!$C$10))),MIN(10,IF(E22="Sim",Legenda!$C$4,IF(E22="Parcial",Legenda!$C$5,0))+IF(F22="Sim",Legenda!$C$6,IF(F22="Parcial",Legenda!$C$7,0))+IF(G22="otool + Ghidra",Legenda!$C$8,IF(OR(G22="otool",G22="Ghidra",G22="Outro binário"),Legenda!$C$9,0))+MIN(Legenda!$C$11,MAX(0,J22-1)*Legenda!$C$10)))),1)</f>
        <v/>
      </c>
      <c r="M22" s="67" t="inlineStr">
        <is>
          <t>A1-ghidra/Q3-setupaudioengine-connectallplugs.md; C4:80</t>
        </is>
      </c>
      <c r="N22" s="67" t="inlineStr">
        <is>
          <t>C4:80</t>
        </is>
      </c>
      <c r="O22" s="67" t="inlineStr">
        <is>
          <t>C4 diz kIOReturnBusy. [2026-10-14] Bloco Correction inserido nos .md; evidência em docs/system-map/PROVENANCE-RESOLUTIONS.md.</t>
        </is>
      </c>
      <c r="P22" s="69">
        <f>LEFT(A22,FIND(".",A22&amp;".")-1)</f>
        <v/>
      </c>
    </row>
    <row r="23" ht="22.35" customHeight="1" s="21">
      <c r="A23" s="65" t="inlineStr">
        <is>
          <t>A1-Q3.2</t>
        </is>
      </c>
      <c r="B23" s="66" t="inlineStr">
        <is>
          <t>A1</t>
        </is>
      </c>
      <c r="C23" s="67" t="inlineStr">
        <is>
          <t>Contagem dinâmica de canais (Q3)</t>
        </is>
      </c>
      <c r="D23" s="67" t="inlineStr">
        <is>
          <t>Q3: 6/12 entradas e 10/16 saídas conforme bits 4/3 do fMode.</t>
        </is>
      </c>
      <c r="E23" s="66" t="inlineStr">
        <is>
          <t>Sim</t>
        </is>
      </c>
      <c r="F23" s="66" t="inlineStr">
        <is>
          <t>Sim</t>
        </is>
      </c>
      <c r="G23" s="66" t="inlineStr">
        <is>
          <t>otool</t>
        </is>
      </c>
      <c r="H23" s="66" t="inlineStr">
        <is>
          <t>Não</t>
        </is>
      </c>
      <c r="I23" s="67" t="inlineStr">
        <is>
          <t>Ghidra</t>
        </is>
      </c>
      <c r="J23" s="66">
        <f>IF(TRIM(I23)="",0,LEN(I23)-LEN(SUBSTITUTE(I23,";",""))+1)</f>
        <v/>
      </c>
      <c r="K23" s="67" t="inlineStr">
        <is>
          <t>Corrigido 2026-10-14</t>
        </is>
      </c>
      <c r="L23" s="68">
        <f>ROUND(IF(H23="Sim",MIN(Legenda!$C$12,MIN(10,IF(E23="Sim",Legenda!$C$4,IF(E23="Parcial",Legenda!$C$5,0))+IF(F23="Sim",Legenda!$C$6,IF(F23="Parcial",Legenda!$C$7,0))+IF(G23="otool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binário"),Legenda!$C$9,0))+MIN(Legenda!$C$11,MAX(0,J23-1)*Legenda!$C$10))),IF(H23="Parcial",MIN(Legenda!$C$13,MIN(10,IF(E23="Sim",Legenda!$C$4,IF(E23="Parcial",Legenda!$C$5,0))+IF(F23="Sim",Legenda!$C$6,IF(F23="Parcial",Legenda!$C$7,0))+IF(G23="otool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binário"),Legenda!$C$9,0))+MIN(Legenda!$C$11,MAX(0,J23-1)*Legenda!$C$10))),MIN(10,IF(E23="Sim",Legenda!$C$4,IF(E23="Parcial",Legenda!$C$5,0))+IF(F23="Sim",Legenda!$C$6,IF(F23="Parcial",Legenda!$C$7,0))+IF(G23="otool + Ghidra",Legenda!$C$8,IF(OR(G23="otool",G23="Ghidra",G23="Outro binário"),Legenda!$C$9,0))+MIN(Legenda!$C$11,MAX(0,J23-1)*Legenda!$C$10)))),1)</f>
        <v/>
      </c>
      <c r="M23" s="67" t="inlineStr">
        <is>
          <t>A1-ghidra/Q3-setupaudioengine-connectallplugs.md</t>
        </is>
      </c>
      <c r="N23" s="67" t="inlineStr">
        <is>
          <t>—</t>
        </is>
      </c>
      <c r="O23" s="67" t="inlineStr">
        <is>
          <t>Reconciliar com as tabelas DeviceChannels (A1-Q15c.4). | Resolvido: bit4 -&gt; SAIDAS 6/12 ([+0x2e0]); bit3 -&gt; ENTRADAS 10/16 ([+0x2e4]); Q3 tinha trocado. Confirmado no SL (67a/67b). Rotulo "spdif-mode" do arquivo 67a e suspeito. R12</t>
        </is>
      </c>
      <c r="P23" s="69">
        <f>LEFT(A23,FIND(".",A23&amp;".")-1)</f>
        <v/>
      </c>
    </row>
    <row r="24" ht="22.35" customHeight="1" s="21">
      <c r="A24" s="65" t="inlineStr">
        <is>
          <t>A1-Q3a.1</t>
        </is>
      </c>
      <c r="B24" s="66" t="inlineStr">
        <is>
          <t>A1</t>
        </is>
      </c>
      <c r="C24" s="67" t="inlineStr">
        <is>
          <t>Formato de sinal do plug (FW1814)</t>
        </is>
      </c>
      <c r="D24" s="67" t="inlineStr">
        <is>
          <t>Rev1: CONTROL de 8 bytes 00 FF (18|dir) plug 90 SFC FF FF via [this+0x268]-&gt;vt[0x8b8]; dir=1 → 0x19 INPUT, dir=0 → 0x18 OUTPUT.</t>
        </is>
      </c>
      <c r="E24" s="66" t="inlineStr">
        <is>
          <t>Sim</t>
        </is>
      </c>
      <c r="F24" s="66" t="inlineStr">
        <is>
          <t>Não</t>
        </is>
      </c>
      <c r="G24" s="66" t="inlineStr">
        <is>
          <t>otool + Ghidra</t>
        </is>
      </c>
      <c r="H24" s="66" t="inlineStr">
        <is>
          <t>Não</t>
        </is>
      </c>
      <c r="I24" s="67" t="inlineStr">
        <is>
          <t>asm 0x13734..0x13827; vtable slot 0xb50; Ghidra</t>
        </is>
      </c>
      <c r="J24" s="66">
        <f>IF(TRIM(I24)="",0,LEN(I24)-LEN(SUBSTITUTE(I24,";",""))+1)</f>
        <v/>
      </c>
      <c r="K24" s="67" t="inlineStr">
        <is>
          <t>Corrigido 2026-10-14</t>
        </is>
      </c>
      <c r="L24" s="68">
        <f>ROUND(IF(H24="Sim",MIN(Legenda!$C$12,MIN(10,IF(E24="Sim",Legenda!$C$4,IF(E24="Parcial",Legenda!$C$5,0))+IF(F24="Sim",Legenda!$C$6,IF(F24="Parcial",Legenda!$C$7,0))+IF(G24="otool + Ghidra",Legenda!$C$8,IF(OR(G24="otool",G24="Ghidra",G24="Outro binário"),Legenda!$C$9,0))+MIN(Legenda!$C$11,MAX(0,J24-1)*Legenda!$C$10))),IF(H24="Parcial",MIN(Legenda!$C$13,MIN(10,IF(E24="Sim",Legenda!$C$4,IF(E24="Parcial",Legenda!$C$5,0))+IF(F24="Sim",Legenda!$C$6,IF(F24="Parcial",Legenda!$C$7,0))+IF(G24="otool + Ghidra",Legenda!$C$8,IF(OR(G24="otool",G24="Ghidra",G24="Outro binário"),Legenda!$C$9,0))+MIN(Legenda!$C$11,MAX(0,J24-1)*Legenda!$C$10))),MIN(10,IF(E24="Sim",Legenda!$C$4,IF(E24="Parcial",Legenda!$C$5,0))+IF(F24="Sim",Legenda!$C$6,IF(F24="Parcial",Legenda!$C$7,0))+IF(G24="otool + Ghidra",Legenda!$C$8,IF(OR(G24="otool",G24="Ghidra",G24="Outro binário"),Legenda!$C$9,0))+MIN(Legenda!$C$11,MAX(0,J24-1)*Legenda!$C$10)))),1)</f>
        <v/>
      </c>
      <c r="M24" s="67" t="inlineStr">
        <is>
          <t>A1-ghidra/Q3a-fcp-avc-wire.md §3 Correction</t>
        </is>
      </c>
      <c r="N24" s="67" t="inlineStr">
        <is>
          <t>—</t>
        </is>
      </c>
      <c r="O24" s="67" t="inlineStr">
        <is>
          <t>Confirmar no fio com captura FCP (DTrace) no SL.</t>
        </is>
      </c>
      <c r="P24" s="69">
        <f>LEFT(A24,FIND(".",A24&amp;".")-1)</f>
        <v/>
      </c>
    </row>
    <row r="25" ht="22.35" customHeight="1" s="21">
      <c r="A25" s="65" t="inlineStr">
        <is>
          <t>A1-Q3a.2</t>
        </is>
      </c>
      <c r="B25" s="66" t="inlineStr">
        <is>
          <t>A1</t>
        </is>
      </c>
      <c r="C25" s="67" t="inlineStr">
        <is>
          <t>Sequência de início do stream</t>
        </is>
      </c>
      <c r="D25" s="67" t="inlineStr">
        <is>
          <t>TX start → 500 ms → 0x19 INPUT → 500 ms → RX start → 0x18 OUTPUT (sem 100 ms). [+0x348]=1 sempre no FW1814 (SetupAudioEngine @0xed73).</t>
        </is>
      </c>
      <c r="E25" s="66" t="inlineStr">
        <is>
          <t>Sim</t>
        </is>
      </c>
      <c r="F25" s="66" t="inlineStr">
        <is>
          <t>Não</t>
        </is>
      </c>
      <c r="G25" s="66" t="inlineStr">
        <is>
          <t>otool + Ghidra</t>
        </is>
      </c>
      <c r="H25" s="66" t="inlineStr">
        <is>
          <t>Não</t>
        </is>
      </c>
      <c r="I25" s="67" t="inlineStr">
        <is>
          <t>asm 0x121c9..0x122bb, 0xed73; Ghidra; memória stream_kick (ordem diferente); snd-bebob (100 ms)</t>
        </is>
      </c>
      <c r="J25" s="66">
        <f>IF(TRIM(I25)="",0,LEN(I25)-LEN(SUBSTITUTE(I25,";",""))+1)</f>
        <v/>
      </c>
      <c r="K25" s="67" t="inlineStr">
        <is>
          <t>Corrigido 2026-10-14</t>
        </is>
      </c>
      <c r="L25" s="68">
        <f>ROUND(IF(H25="Sim",MIN(Legenda!$C$12,MIN(10,IF(E25="Sim",Legenda!$C$4,IF(E25="Parcial",Legenda!$C$5,0))+IF(F25="Sim",Legenda!$C$6,IF(F25="Parcial",Legenda!$C$7,0))+IF(G25="otool + Ghidra",Legenda!$C$8,IF(OR(G25="otool",G25="Ghidra",G25="Outro binário"),Legenda!$C$9,0))+MIN(Legenda!$C$11,MAX(0,J25-1)*Legenda!$C$10))),IF(H25="Parcial",MIN(Legenda!$C$13,MIN(10,IF(E25="Sim",Legenda!$C$4,IF(E25="Parcial",Legenda!$C$5,0))+IF(F25="Sim",Legenda!$C$6,IF(F25="Parcial",Legenda!$C$7,0))+IF(G25="otool + Ghidra",Legenda!$C$8,IF(OR(G25="otool",G25="Ghidra",G25="Outro binário"),Legenda!$C$9,0))+MIN(Legenda!$C$11,MAX(0,J25-1)*Legenda!$C$10))),MIN(10,IF(E25="Sim",Legenda!$C$4,IF(E25="Parcial",Legenda!$C$5,0))+IF(F25="Sim",Legenda!$C$6,IF(F25="Parcial",Legenda!$C$7,0))+IF(G25="otool + Ghidra",Legenda!$C$8,IF(OR(G25="otool",G25="Ghidra",G25="Outro binário"),Legenda!$C$9,0))+MIN(Legenda!$C$11,MAX(0,J25-1)*Legenda!$C$10)))),1)</f>
        <v/>
      </c>
      <c r="M25" s="67" t="inlineStr">
        <is>
          <t>Q3a §3 Correction; C1:85,179,208; C2:268-291; C3:55; C4:505-548; C6:106; D:112,146,176</t>
        </is>
      </c>
      <c r="N25" s="67" t="inlineStr">
        <is>
          <t>Top-15 #1</t>
        </is>
      </c>
      <c r="O25" s="67" t="inlineStr">
        <is>
          <t>Conflita com a memória project_fw1814_stream_kick (hardware, pré-Ghidra) e com snd-bebob. Capturar FCP no SL para fechar. [2026-10-14] Bloco Correction inserido nos .md; evidência em docs/system-map/PROVENANCE-RESOLUTIONS.md.</t>
        </is>
      </c>
      <c r="P25" s="69">
        <f>LEFT(A25,FIND(".",A25&amp;".")-1)</f>
        <v/>
      </c>
    </row>
    <row r="26" ht="22.35" customHeight="1" s="21">
      <c r="A26" s="65" t="inlineStr">
        <is>
          <t>A1-Q3a.3</t>
        </is>
      </c>
      <c r="B26" s="66" t="inlineStr">
        <is>
          <t>A1</t>
        </is>
      </c>
      <c r="C26" s="67" t="inlineStr">
        <is>
          <t>ExtendedPlugInfo</t>
        </is>
      </c>
      <c r="D26" s="67" t="inlineStr">
        <is>
          <t>O kext nunca envia AV/C EXTENDED PLUG INFO (0 ocorrências de 0xC2/0xC3).</t>
        </is>
      </c>
      <c r="E26" s="66" t="inlineStr">
        <is>
          <t>Sim</t>
        </is>
      </c>
      <c r="F26" s="66" t="inlineStr">
        <is>
          <t>Não</t>
        </is>
      </c>
      <c r="G26" s="66" t="inlineStr">
        <is>
          <t>otool</t>
        </is>
      </c>
      <c r="H26" s="66" t="inlineStr">
        <is>
          <t>Não</t>
        </is>
      </c>
      <c r="I26" s="67" t="inlineStr">
        <is>
          <t>grep no asm; FFADO (pula no 0x10071)</t>
        </is>
      </c>
      <c r="J26" s="66">
        <f>IF(TRIM(I26)="",0,LEN(I26)-LEN(SUBSTITUTE(I26,";",""))+1)</f>
        <v/>
      </c>
      <c r="K26" s="67" t="inlineStr">
        <is>
          <t>Consistente</t>
        </is>
      </c>
      <c r="L26" s="68">
        <f>ROUND(IF(H26="Sim",MIN(Legenda!$C$12,MIN(10,IF(E26="Sim",Legenda!$C$4,IF(E26="Parcial",Legenda!$C$5,0))+IF(F26="Sim",Legenda!$C$6,IF(F26="Parcial",Legenda!$C$7,0))+IF(G26="otool + Ghidra",Legenda!$C$8,IF(OR(G26="otool",G26="Ghidra",G26="Outro binário"),Legenda!$C$9,0))+MIN(Legenda!$C$11,MAX(0,J26-1)*Legenda!$C$10))),IF(H26="Parcial",MIN(Legenda!$C$13,MIN(10,IF(E26="Sim",Legenda!$C$4,IF(E26="Parcial",Legenda!$C$5,0))+IF(F26="Sim",Legenda!$C$6,IF(F26="Parcial",Legenda!$C$7,0))+IF(G26="otool + Ghidra",Legenda!$C$8,IF(OR(G26="otool",G26="Ghidra",G26="Outro binário"),Legenda!$C$9,0))+MIN(Legenda!$C$11,MAX(0,J26-1)*Legenda!$C$10))),MIN(10,IF(E26="Sim",Legenda!$C$4,IF(E26="Parcial",Legenda!$C$5,0))+IF(F26="Sim",Legenda!$C$6,IF(F26="Parcial",Legenda!$C$7,0))+IF(G26="otool + Ghidra",Legenda!$C$8,IF(OR(G26="otool",G26="Ghidra",G26="Outro binário"),Legenda!$C$9,0))+MIN(Legenda!$C$11,MAX(0,J26-1)*Legenda!$C$10)))),1)</f>
        <v/>
      </c>
      <c r="M26" s="67" t="inlineStr">
        <is>
          <t>Q3a §4</t>
        </is>
      </c>
      <c r="N26" s="67" t="inlineStr">
        <is>
          <t>—</t>
        </is>
      </c>
      <c r="O26" s="67" t="inlineStr">
        <is>
          <t>O mapa de plugs pode ser fixo no clone.</t>
        </is>
      </c>
      <c r="P26" s="69">
        <f>LEFT(A26,FIND(".",A26&amp;".")-1)</f>
        <v/>
      </c>
    </row>
    <row r="27" ht="22.35" customHeight="1" s="21">
      <c r="A27" s="65" t="inlineStr">
        <is>
          <t>A1-Q3a.4</t>
        </is>
      </c>
      <c r="B27" s="66" t="inlineStr">
        <is>
          <t>A1</t>
        </is>
      </c>
      <c r="C27" s="67" t="inlineStr">
        <is>
          <t>Formato estendido 0x2F/0xC0</t>
        </is>
      </c>
      <c r="D27" s="67" t="inlineStr">
        <is>
          <t>CONTROL estendido (14+ bytes) existe só em FWRev2AudioDevice; não é usado pelo FW1814.</t>
        </is>
      </c>
      <c r="E27" s="66" t="inlineStr">
        <is>
          <t>Sim</t>
        </is>
      </c>
      <c r="F27" s="66" t="inlineStr">
        <is>
          <t>Não</t>
        </is>
      </c>
      <c r="G27" s="66" t="inlineStr">
        <is>
          <t>otool + Ghidra</t>
        </is>
      </c>
      <c r="H27" s="66" t="inlineStr">
        <is>
          <t>Não</t>
        </is>
      </c>
      <c r="I27" s="67" t="inlineStr">
        <is>
          <t>vtable slot 0xb50 (Rev2); Ghidra</t>
        </is>
      </c>
      <c r="J27" s="66">
        <f>IF(TRIM(I27)="",0,LEN(I27)-LEN(SUBSTITUTE(I27,";",""))+1)</f>
        <v/>
      </c>
      <c r="K27" s="67" t="inlineStr">
        <is>
          <t>Corrigido 2026-10-14</t>
        </is>
      </c>
      <c r="L27" s="68">
        <f>ROUND(IF(H27="Sim",MIN(Legenda!$C$12,MIN(10,IF(E27="Sim",Legenda!$C$4,IF(E27="Parcial",Legenda!$C$5,0))+IF(F27="Sim",Legenda!$C$6,IF(F27="Parcial",Legenda!$C$7,0))+IF(G27="otool + Ghidra",Legenda!$C$8,IF(OR(G27="otool",G27="Ghidra",G27="Outro binário"),Legenda!$C$9,0))+MIN(Legenda!$C$11,MAX(0,J27-1)*Legenda!$C$10))),IF(H27="Parcial",MIN(Legenda!$C$13,MIN(10,IF(E27="Sim",Legenda!$C$4,IF(E27="Parcial",Legenda!$C$5,0))+IF(F27="Sim",Legenda!$C$6,IF(F27="Parcial",Legenda!$C$7,0))+IF(G27="otool + Ghidra",Legenda!$C$8,IF(OR(G27="otool",G27="Ghidra",G27="Outro binário"),Legenda!$C$9,0))+MIN(Legenda!$C$11,MAX(0,J27-1)*Legenda!$C$10))),MIN(10,IF(E27="Sim",Legenda!$C$4,IF(E27="Parcial",Legenda!$C$5,0))+IF(F27="Sim",Legenda!$C$6,IF(F27="Parcial",Legenda!$C$7,0))+IF(G27="otool + Ghidra",Legenda!$C$8,IF(OR(G27="otool",G27="Ghidra",G27="Outro binário"),Legenda!$C$9,0))+MIN(Legenda!$C$11,MAX(0,J27-1)*Legenda!$C$10)))),1)</f>
        <v/>
      </c>
      <c r="M27" s="67" t="inlineStr">
        <is>
          <t>Q3a §2 Correction</t>
        </is>
      </c>
      <c r="N27" s="67" t="inlineStr">
        <is>
          <t>—</t>
        </is>
      </c>
      <c r="O27" s="67" t="inlineStr">
        <is>
          <t>—</t>
        </is>
      </c>
      <c r="P27" s="69">
        <f>LEFT(A27,FIND(".",A27&amp;".")-1)</f>
        <v/>
      </c>
    </row>
    <row r="28" ht="22.35" customHeight="1" s="21">
      <c r="A28" s="65" t="inlineStr">
        <is>
          <t>A1-Q-CMP.1</t>
        </is>
      </c>
      <c r="B28" s="66" t="inlineStr">
        <is>
          <t>A1</t>
        </is>
      </c>
      <c r="C28" s="67" t="inlineStr">
        <is>
          <t>Canal isoch e tamanho de pacote</t>
        </is>
      </c>
      <c r="D28" s="67" t="inlineStr">
        <is>
          <t>Canal alocado pelo IRM (doIRM=true); packetSize = 4·DBS·SYT + 8 (TX) / + 12 (RX); contagem RX 256, TX 4·P.</t>
        </is>
      </c>
      <c r="E28" s="66" t="inlineStr">
        <is>
          <t>Sim</t>
        </is>
      </c>
      <c r="F28" s="66" t="inlineStr">
        <is>
          <t>Não</t>
        </is>
      </c>
      <c r="G28" s="66" t="inlineStr">
        <is>
          <t>otool + Ghidra</t>
        </is>
      </c>
      <c r="H28" s="66" t="inlineStr">
        <is>
          <t>Não</t>
        </is>
      </c>
      <c r="I28" s="67" t="inlineStr">
        <is>
          <t>asm 0x255c2, 0x25e56, 0x260ac..0x260f3; Ghidra</t>
        </is>
      </c>
      <c r="J28" s="66">
        <f>IF(TRIM(I28)="",0,LEN(I28)-LEN(SUBSTITUTE(I28,";",""))+1)</f>
        <v/>
      </c>
      <c r="K28" s="67" t="inlineStr">
        <is>
          <t>Corrigido 2026-10-14</t>
        </is>
      </c>
      <c r="L28" s="68">
        <f>ROUND(IF(H28="Sim",MIN(Legenda!$C$12,MIN(10,IF(E28="Sim",Legenda!$C$4,IF(E28="Parcial",Legenda!$C$5,0))+IF(F28="Sim",Legenda!$C$6,IF(F28="Parcial",Legenda!$C$7,0))+IF(G28="otool + Ghidra",Legenda!$C$8,IF(OR(G28="otool",G28="Ghidra",G28="Outro binário"),Legenda!$C$9,0))+MIN(Legenda!$C$11,MAX(0,J28-1)*Legenda!$C$10))),IF(H28="Parcial",MIN(Legenda!$C$13,MIN(10,IF(E28="Sim",Legenda!$C$4,IF(E28="Parcial",Legenda!$C$5,0))+IF(F28="Sim",Legenda!$C$6,IF(F28="Parcial",Legenda!$C$7,0))+IF(G28="otool + Ghidra",Legenda!$C$8,IF(OR(G28="otool",G28="Ghidra",G28="Outro binário"),Legenda!$C$9,0))+MIN(Legenda!$C$11,MAX(0,J28-1)*Legenda!$C$10))),MIN(10,IF(E28="Sim",Legenda!$C$4,IF(E28="Parcial",Legenda!$C$5,0))+IF(F28="Sim",Legenda!$C$6,IF(F28="Parcial",Legenda!$C$7,0))+IF(G28="otool + Ghidra",Legenda!$C$8,IF(OR(G28="otool",G28="Ghidra",G28="Outro binário"),Legenda!$C$9,0))+MIN(Legenda!$C$11,MAX(0,J28-1)*Legenda!$C$10)))),1)</f>
        <v/>
      </c>
      <c r="M28" s="67" t="inlineStr">
        <is>
          <t>A1-ghidra/Q-CMP-connect.md §1–2</t>
        </is>
      </c>
      <c r="N28" s="67" t="inlineStr">
        <is>
          <t>—</t>
        </is>
      </c>
      <c r="O28" s="67" t="inlineStr">
        <is>
          <t>Verificado (OK #22).</t>
        </is>
      </c>
      <c r="P28" s="69">
        <f>LEFT(A28,FIND(".",A28&amp;".")-1)</f>
        <v/>
      </c>
    </row>
    <row r="29" ht="22.35" customHeight="1" s="21">
      <c r="A29" s="65" t="inlineStr">
        <is>
          <t>A1-Q-CMP.2</t>
        </is>
      </c>
      <c r="B29" s="66" t="inlineStr">
        <is>
          <t>A1</t>
        </is>
      </c>
      <c r="C29" s="67" t="inlineStr">
        <is>
          <t>CMP em oPCR/iPCR</t>
        </is>
      </c>
      <c r="D29" s="67" t="inlineStr">
        <is>
          <t>Ler-modificar-lock em oPCR 0xF0000904+4n / iPCR 0xF0000984+4n: online, canal, velocidade (só oPCR), p2p+1; até 4 tentativas com IOSleep(100).</t>
        </is>
      </c>
      <c r="E29" s="66" t="inlineStr">
        <is>
          <t>Sim</t>
        </is>
      </c>
      <c r="F29" s="66" t="inlineStr">
        <is>
          <t>Não</t>
        </is>
      </c>
      <c r="G29" s="66" t="inlineStr">
        <is>
          <t>otool + Ghidra</t>
        </is>
      </c>
      <c r="H29" s="66" t="inlineStr">
        <is>
          <t>Não</t>
        </is>
      </c>
      <c r="I29" s="67" t="inlineStr">
        <is>
          <t>asm 0x23f50..0x23fdc, 0x244f0, 0x24690; IEC 61883-1</t>
        </is>
      </c>
      <c r="J29" s="66">
        <f>IF(TRIM(I29)="",0,LEN(I29)-LEN(SUBSTITUTE(I29,";",""))+1)</f>
        <v/>
      </c>
      <c r="K29" s="67" t="inlineStr">
        <is>
          <t>Corrigido 2026-10-14</t>
        </is>
      </c>
      <c r="L29" s="68">
        <f>ROUND(IF(H29="Sim",MIN(Legenda!$C$12,MIN(10,IF(E29="Sim",Legenda!$C$4,IF(E29="Parcial",Legenda!$C$5,0))+IF(F29="Sim",Legenda!$C$6,IF(F29="Parcial",Legenda!$C$7,0))+IF(G29="otool + Ghidra",Legenda!$C$8,IF(OR(G29="otool",G29="Ghidra",G29="Outro binário"),Legenda!$C$9,0))+MIN(Legenda!$C$11,MAX(0,J29-1)*Legenda!$C$10))),IF(H29="Parcial",MIN(Legenda!$C$13,MIN(10,IF(E29="Sim",Legenda!$C$4,IF(E29="Parcial",Legenda!$C$5,0))+IF(F29="Sim",Legenda!$C$6,IF(F29="Parcial",Legenda!$C$7,0))+IF(G29="otool + Ghidra",Legenda!$C$8,IF(OR(G29="otool",G29="Ghidra",G29="Outro binário"),Legenda!$C$9,0))+MIN(Legenda!$C$11,MAX(0,J29-1)*Legenda!$C$10))),MIN(10,IF(E29="Sim",Legenda!$C$4,IF(E29="Parcial",Legenda!$C$5,0))+IF(F29="Sim",Legenda!$C$6,IF(F29="Parcial",Legenda!$C$7,0))+IF(G29="otool + Ghidra",Legenda!$C$8,IF(OR(G29="otool",G29="Ghidra",G29="Outro binário"),Legenda!$C$9,0))+MIN(Legenda!$C$11,MAX(0,J29-1)*Legenda!$C$10)))),1)</f>
        <v/>
      </c>
      <c r="M29" s="67" t="inlineStr">
        <is>
          <t>Q-CMP-connect.md §3</t>
        </is>
      </c>
      <c r="N29" s="67" t="inlineStr">
        <is>
          <t>Q3a §3 (antigo: 'IOFireWireAVC faz o CMP')</t>
        </is>
      </c>
      <c r="O29" s="67" t="inlineStr">
        <is>
          <t>É o único IOSleep(100) do kext.</t>
        </is>
      </c>
      <c r="P29" s="69">
        <f>LEFT(A29,FIND(".",A29&amp;".")-1)</f>
        <v/>
      </c>
    </row>
    <row r="30" ht="22.35" customHeight="1" s="21">
      <c r="A30" s="65" t="inlineStr">
        <is>
          <t>A1-Q-CMP.3</t>
        </is>
      </c>
      <c r="B30" s="66" t="inlineStr">
        <is>
          <t>A1</t>
        </is>
      </c>
      <c r="C30" s="67" t="inlineStr">
        <is>
          <t>PCR local do host e velocidade</t>
        </is>
      </c>
      <c r="D30" s="67" t="inlineStr">
        <is>
          <t>PCR local = ch&lt;&lt;16 | 0xC1003C7A (payload fixo de 122 quadlets); velocidade = nub vt[0x850].</t>
        </is>
      </c>
      <c r="E30" s="66" t="inlineStr">
        <is>
          <t>Sim</t>
        </is>
      </c>
      <c r="F30" s="66" t="inlineStr">
        <is>
          <t>Não</t>
        </is>
      </c>
      <c r="G30" s="66" t="inlineStr">
        <is>
          <t>otool + Ghidra</t>
        </is>
      </c>
      <c r="H30" s="66" t="inlineStr">
        <is>
          <t>Parcial</t>
        </is>
      </c>
      <c r="I30" s="67" t="inlineStr">
        <is>
          <t>asm 0x2486e; Ghidra</t>
        </is>
      </c>
      <c r="J30" s="66">
        <f>IF(TRIM(I30)="",0,LEN(I30)-LEN(SUBSTITUTE(I30,";",""))+1)</f>
        <v/>
      </c>
      <c r="K30" s="67" t="inlineStr">
        <is>
          <t>Corrigido 2026-10-14</t>
        </is>
      </c>
      <c r="L30" s="68">
        <f>ROUND(IF(H30="Sim",MIN(Legenda!$C$12,MIN(10,IF(E30="Sim",Legenda!$C$4,IF(E30="Parcial",Legenda!$C$5,0))+IF(F30="Sim",Legenda!$C$6,IF(F30="Parcial",Legenda!$C$7,0))+IF(G30="otool + Ghidra",Legenda!$C$8,IF(OR(G30="otool",G30="Ghidra",G30="Outro binário"),Legenda!$C$9,0))+MIN(Legenda!$C$11,MAX(0,J30-1)*Legenda!$C$10))),IF(H30="Parcial",MIN(Legenda!$C$13,MIN(10,IF(E30="Sim",Legenda!$C$4,IF(E30="Parcial",Legenda!$C$5,0))+IF(F30="Sim",Legenda!$C$6,IF(F30="Parcial",Legenda!$C$7,0))+IF(G30="otool + Ghidra",Legenda!$C$8,IF(OR(G30="otool",G30="Ghidra",G30="Outro binário"),Legenda!$C$9,0))+MIN(Legenda!$C$11,MAX(0,J30-1)*Legenda!$C$10))),MIN(10,IF(E30="Sim",Legenda!$C$4,IF(E30="Parcial",Legenda!$C$5,0))+IF(F30="Sim",Legenda!$C$6,IF(F30="Parcial",Legenda!$C$7,0))+IF(G30="otool + Ghidra",Legenda!$C$8,IF(OR(G30="otool",G30="Ghidra",G30="Outro binário"),Legenda!$C$9,0))+MIN(Legenda!$C$11,MAX(0,J30-1)*Legenda!$C$10)))),1)</f>
        <v/>
      </c>
      <c r="M30" s="67" t="inlineStr">
        <is>
          <t>Q-CMP-connect.md §1, §3</t>
        </is>
      </c>
      <c r="N30" s="67" t="inlineStr">
        <is>
          <t>—</t>
        </is>
      </c>
      <c r="O30" s="67" t="inlineStr">
        <is>
          <t>vt[0x850] = IOFireWireNub::FWSpeed() @0xef38 (IOFireWireFamily 4.7.2, 10.13.6). Significado do payload 122 (IEC 61883-1) não verificado. §R8.</t>
        </is>
      </c>
      <c r="P30" s="69">
        <f>LEFT(A30,FIND(".",A30&amp;".")-1)</f>
        <v/>
      </c>
    </row>
    <row r="31" ht="32.8" customHeight="1" s="21">
      <c r="A31" s="65" t="inlineStr">
        <is>
          <t>A1-Q4.1</t>
        </is>
      </c>
      <c r="B31" s="66" t="inlineStr">
        <is>
          <t>A1</t>
        </is>
      </c>
      <c r="C31" s="67" t="inlineStr">
        <is>
          <t>BusReset / ReconnectP2P</t>
        </is>
      </c>
      <c r="D31" s="67" t="inlineStr">
        <is>
          <t>BusReset (PMF 0xBF1 → vt[0xbf0]) roda ReconnectP2P em thread nova; vt[0xcb8] = ConnectAllPlugs, vt[0xcc0] = DisconnectAllPlugs; a cauda reenvia o clock por HSCI (blankSlate=1) quando engine [+0x2d0]==0.</t>
        </is>
      </c>
      <c r="E31" s="66" t="inlineStr">
        <is>
          <t>Sim</t>
        </is>
      </c>
      <c r="F31" s="66" t="inlineStr">
        <is>
          <t>Não</t>
        </is>
      </c>
      <c r="G31" s="66" t="inlineStr">
        <is>
          <t>otool</t>
        </is>
      </c>
      <c r="H31" s="66" t="inlineStr">
        <is>
          <t>Não</t>
        </is>
      </c>
      <c r="I31" s="67" t="inlineStr">
        <is>
          <t>asm 0xe1ea.., 0xe22c..0xe23c, 0xe5ab; vtables</t>
        </is>
      </c>
      <c r="J31" s="66">
        <f>IF(TRIM(I31)="",0,LEN(I31)-LEN(SUBSTITUTE(I31,";",""))+1)</f>
        <v/>
      </c>
      <c r="K31" s="67" t="inlineStr">
        <is>
          <t>Corrigido 2026-10-14</t>
        </is>
      </c>
      <c r="L31" s="68">
        <f>ROUND(IF(H31="Sim",MIN(Legenda!$C$12,MIN(10,IF(E31="Sim",Legenda!$C$4,IF(E31="Parcial",Legenda!$C$5,0))+IF(F31="Sim",Legenda!$C$6,IF(F31="Parcial",Legenda!$C$7,0))+IF(G31="otool + Ghidra",Legenda!$C$8,IF(OR(G31="otool",G31="Ghidra",G31="Outro binário"),Legenda!$C$9,0))+MIN(Legenda!$C$11,MAX(0,J31-1)*Legenda!$C$10))),IF(H31="Parcial",MIN(Legenda!$C$13,MIN(10,IF(E31="Sim",Legenda!$C$4,IF(E31="Parcial",Legenda!$C$5,0))+IF(F31="Sim",Legenda!$C$6,IF(F31="Parcial",Legenda!$C$7,0))+IF(G31="otool + Ghidra",Legenda!$C$8,IF(OR(G31="otool",G31="Ghidra",G31="Outro binário"),Legenda!$C$9,0))+MIN(Legenda!$C$11,MAX(0,J31-1)*Legenda!$C$10))),MIN(10,IF(E31="Sim",Legenda!$C$4,IF(E31="Parcial",Legenda!$C$5,0))+IF(F31="Sim",Legenda!$C$6,IF(F31="Parcial",Legenda!$C$7,0))+IF(G31="otool + Ghidra",Legenda!$C$8,IF(OR(G31="otool",G31="Ghidra",G31="Outro binário"),Legenda!$C$9,0))+MIN(Legenda!$C$11,MAX(0,J31-1)*Legenda!$C$10)))),1)</f>
        <v/>
      </c>
      <c r="M31" s="67" t="inlineStr">
        <is>
          <t>Q4:9,16-17,20,29,35,46,56; C1:179,208,210,252</t>
        </is>
      </c>
      <c r="N31" s="67" t="inlineStr">
        <is>
          <t>Top-15 #9</t>
        </is>
      </c>
      <c r="O31" s="67" t="inlineStr">
        <is>
          <t>Q4 inteiro precisa de bloco de correção; justificativa dos 1100 ms sem fonte. [2026-10-14] Bloco Correction inserido nos .md; evidência em docs/system-map/PROVENANCE-RESOLUTIONS.md.</t>
        </is>
      </c>
      <c r="P31" s="69">
        <f>LEFT(A31,FIND(".",A31&amp;".")-1)</f>
        <v/>
      </c>
    </row>
    <row r="32" ht="22.35" customHeight="1" s="21">
      <c r="A32" s="65" t="inlineStr">
        <is>
          <t>A1-Q5.1</t>
        </is>
      </c>
      <c r="B32" s="66" t="inlineStr">
        <is>
          <t>A1</t>
        </is>
      </c>
      <c r="C32" s="67" t="inlineStr">
        <is>
          <t>Gate do MAClockSource</t>
        </is>
      </c>
      <c r="D32" s="67" t="inlineStr">
        <is>
          <t>Bit 30 obrigatório; abaixo de 0x40000000 retorna 0xE00002C2 sem enviar nada.</t>
        </is>
      </c>
      <c r="E32" s="66" t="inlineStr">
        <is>
          <t>Sim</t>
        </is>
      </c>
      <c r="F32" s="66" t="inlineStr">
        <is>
          <t>Sim</t>
        </is>
      </c>
      <c r="G32" s="66" t="inlineStr">
        <is>
          <t>otool + Ghidra</t>
        </is>
      </c>
      <c r="H32" s="66" t="inlineStr">
        <is>
          <t>Não</t>
        </is>
      </c>
      <c r="I32" s="67" t="inlineStr">
        <is>
          <t>asm 0xe2ea..0xe2f3; clock-bijection.log:218-220; capturas B5 66/68/69 (v1.9)</t>
        </is>
      </c>
      <c r="J32" s="66">
        <f>IF(TRIM(I32)="",0,LEN(I32)-LEN(SUBSTITUTE(I32,";",""))+1)</f>
        <v/>
      </c>
      <c r="K32" s="67" t="inlineStr">
        <is>
          <t>Consistente</t>
        </is>
      </c>
      <c r="L32" s="68">
        <f>ROUND(IF(H32="Sim",MIN(Legenda!$C$12,MIN(10,IF(E32="Sim",Legenda!$C$4,IF(E32="Parcial",Legenda!$C$5,0))+IF(F32="Sim",Legenda!$C$6,IF(F32="Parcial",Legenda!$C$7,0))+IF(G32="otool + Ghidra",Legenda!$C$8,IF(OR(G32="otool",G32="Ghidra",G32="Outro binário"),Legenda!$C$9,0))+MIN(Legenda!$C$11,MAX(0,J32-1)*Legenda!$C$10))),IF(H32="Parcial",MIN(Legenda!$C$13,MIN(10,IF(E32="Sim",Legenda!$C$4,IF(E32="Parcial",Legenda!$C$5,0))+IF(F32="Sim",Legenda!$C$6,IF(F32="Parcial",Legenda!$C$7,0))+IF(G32="otool + Ghidra",Legenda!$C$8,IF(OR(G32="otool",G32="Ghidra",G32="Outro binário"),Legenda!$C$9,0))+MIN(Legenda!$C$11,MAX(0,J32-1)*Legenda!$C$10))),MIN(10,IF(E32="Sim",Legenda!$C$4,IF(E32="Parcial",Legenda!$C$5,0))+IF(F32="Sim",Legenda!$C$6,IF(F32="Parcial",Legenda!$C$7,0))+IF(G32="otool + Ghidra",Legenda!$C$8,IF(OR(G32="otool",G32="Ghidra",G32="Outro binário"),Legenda!$C$9,0))+MIN(Legenda!$C$11,MAX(0,J32-1)*Legenda!$C$10)))),1)</f>
        <v/>
      </c>
      <c r="M32" s="67" t="inlineStr">
        <is>
          <t>A1-ghidra/Q5-clock-source.md; C2:31; B5 §10</t>
        </is>
      </c>
      <c r="N32" s="67" t="inlineStr">
        <is>
          <t>—</t>
        </is>
      </c>
      <c r="O32" s="67" t="inlineStr">
        <is>
          <t>Verificado (OK #3).</t>
        </is>
      </c>
      <c r="P32" s="69">
        <f>LEFT(A32,FIND(".",A32&amp;".")-1)</f>
        <v/>
      </c>
    </row>
    <row r="33" ht="22.35" customHeight="1" s="21">
      <c r="A33" s="65" t="inlineStr">
        <is>
          <t>A1-Q5.2</t>
        </is>
      </c>
      <c r="B33" s="66" t="inlineStr">
        <is>
          <t>A1</t>
        </is>
      </c>
      <c r="C33" s="67" t="inlineStr">
        <is>
          <t>Envelope HSCI do clock = 16 bytes</t>
        </is>
      </c>
      <c r="D33" s="67" t="inlineStr">
        <is>
          <t>bzero 0x10 e length 0x10 @0xe441: 00 FF 00 04 00 04 b6 b7 b8 b9 00…; não 12 bytes.</t>
        </is>
      </c>
      <c r="E33" s="66" t="inlineStr">
        <is>
          <t>Sim</t>
        </is>
      </c>
      <c r="F33" s="66" t="inlineStr">
        <is>
          <t>Não</t>
        </is>
      </c>
      <c r="G33" s="66" t="inlineStr">
        <is>
          <t>otool</t>
        </is>
      </c>
      <c r="H33" s="66" t="inlineStr">
        <is>
          <t>Não</t>
        </is>
      </c>
      <c r="I33" s="67" t="inlineStr">
        <is>
          <t>asm 0xe284, 0xe31a..0xe36e, 0xe441; snd-bebob usa 12 bytes</t>
        </is>
      </c>
      <c r="J33" s="66">
        <f>IF(TRIM(I33)="",0,LEN(I33)-LEN(SUBSTITUTE(I33,";",""))+1)</f>
        <v/>
      </c>
      <c r="K33" s="67" t="inlineStr">
        <is>
          <t>Corrigido 2026-10-14</t>
        </is>
      </c>
      <c r="L33" s="68">
        <f>ROUND(IF(H33="Sim",MIN(Legenda!$C$12,MIN(10,IF(E33="Sim",Legenda!$C$4,IF(E33="Parcial",Legenda!$C$5,0))+IF(F33="Sim",Legenda!$C$6,IF(F33="Parcial",Legenda!$C$7,0))+IF(G33="otool + Ghidra",Legenda!$C$8,IF(OR(G33="otool",G33="Ghidra",G33="Outro binário"),Legenda!$C$9,0))+MIN(Legenda!$C$11,MAX(0,J33-1)*Legenda!$C$10))),IF(H33="Parcial",MIN(Legenda!$C$13,MIN(10,IF(E33="Sim",Legenda!$C$4,IF(E33="Parcial",Legenda!$C$5,0))+IF(F33="Sim",Legenda!$C$6,IF(F33="Parcial",Legenda!$C$7,0))+IF(G33="otool + Ghidra",Legenda!$C$8,IF(OR(G33="otool",G33="Ghidra",G33="Outro binário"),Legenda!$C$9,0))+MIN(Legenda!$C$11,MAX(0,J33-1)*Legenda!$C$10))),MIN(10,IF(E33="Sim",Legenda!$C$4,IF(E33="Parcial",Legenda!$C$5,0))+IF(F33="Sim",Legenda!$C$6,IF(F33="Parcial",Legenda!$C$7,0))+IF(G33="otool + Ghidra",Legenda!$C$8,IF(OR(G33="otool",G33="Ghidra",G33="Outro binário"),Legenda!$C$9,0))+MIN(Legenda!$C$11,MAX(0,J33-1)*Legenda!$C$10)))),1)</f>
        <v/>
      </c>
      <c r="M33" s="67" t="inlineStr">
        <is>
          <t>Q5; C2:32; C3:22,41-53; D:114; system-map/README:47; A1-ghidra/README:19</t>
        </is>
      </c>
      <c r="N33" s="67" t="inlineStr">
        <is>
          <t>Top-15 #5</t>
        </is>
      </c>
      <c r="O33" s="67" t="inlineStr">
        <is>
          <t>C2 já diz 16; C3/D/índices dizem 12. Reconferido em 2026-10-14. [2026-10-14] Bloco Correction inserido nos .md; evidência em docs/system-map/PROVENANCE-RESOLUTIONS.md.</t>
        </is>
      </c>
      <c r="P33" s="69">
        <f>LEFT(A33,FIND(".",A33&amp;".")-1)</f>
        <v/>
      </c>
    </row>
    <row r="34" ht="22.35" customHeight="1" s="21">
      <c r="A34" s="65" t="inlineStr">
        <is>
          <t>A1-Q5.3</t>
        </is>
      </c>
      <c r="B34" s="66" t="inlineStr">
        <is>
          <t>A1</t>
        </is>
      </c>
      <c r="C34" s="67" t="inlineStr">
        <is>
          <t>Byte 6 (fonte de sync)</t>
        </is>
      </c>
      <c r="D34" s="67" t="inlineStr">
        <is>
          <t>Permutação bits[1:0] → byte 6: {0→3, 1→1, 2→2, 3→0}.</t>
        </is>
      </c>
      <c r="E34" s="66" t="inlineStr">
        <is>
          <t>Sim</t>
        </is>
      </c>
      <c r="F34" s="66" t="inlineStr">
        <is>
          <t>Sim</t>
        </is>
      </c>
      <c r="G34" s="66" t="inlineStr">
        <is>
          <t>otool + Ghidra</t>
        </is>
      </c>
      <c r="H34" s="66" t="inlineStr">
        <is>
          <t>Não</t>
        </is>
      </c>
      <c r="I34" s="67" t="inlineStr">
        <is>
          <t>asm 0xe371..0xe3d1; clock-bijection.log:248-276; captura B5 63 rotulada (v1.9)</t>
        </is>
      </c>
      <c r="J34" s="66">
        <f>IF(TRIM(I34)="",0,LEN(I34)-LEN(SUBSTITUTE(I34,";",""))+1)</f>
        <v/>
      </c>
      <c r="K34" s="67" t="inlineStr">
        <is>
          <t>Consistente</t>
        </is>
      </c>
      <c r="L34" s="68">
        <f>ROUND(IF(H34="Sim",MIN(Legenda!$C$12,MIN(10,IF(E34="Sim",Legenda!$C$4,IF(E34="Parcial",Legenda!$C$5,0))+IF(F34="Sim",Legenda!$C$6,IF(F34="Parcial",Legenda!$C$7,0))+IF(G34="otool + Ghidra",Legenda!$C$8,IF(OR(G34="otool",G34="Ghidra",G34="Outro binário"),Legenda!$C$9,0))+MIN(Legenda!$C$11,MAX(0,J34-1)*Legenda!$C$10))),IF(H34="Parcial",MIN(Legenda!$C$13,MIN(10,IF(E34="Sim",Legenda!$C$4,IF(E34="Parcial",Legenda!$C$5,0))+IF(F34="Sim",Legenda!$C$6,IF(F34="Parcial",Legenda!$C$7,0))+IF(G34="otool + Ghidra",Legenda!$C$8,IF(OR(G34="otool",G34="Ghidra",G34="Outro binário"),Legenda!$C$9,0))+MIN(Legenda!$C$11,MAX(0,J34-1)*Legenda!$C$10))),MIN(10,IF(E34="Sim",Legenda!$C$4,IF(E34="Parcial",Legenda!$C$5,0))+IF(F34="Sim",Legenda!$C$6,IF(F34="Parcial",Legenda!$C$7,0))+IF(G34="otool + Ghidra",Legenda!$C$8,IF(OR(G34="otool",G34="Ghidra",G34="Outro binário"),Legenda!$C$9,0))+MIN(Legenda!$C$11,MAX(0,J34-1)*Legenda!$C$10)))),1)</f>
        <v/>
      </c>
      <c r="M34" s="67" t="inlineStr">
        <is>
          <t>Q5; C2 §2.4; B5 §10</t>
        </is>
      </c>
      <c r="N34" s="67" t="inlineStr">
        <is>
          <t>—</t>
        </is>
      </c>
      <c r="O34" s="67" t="inlineStr">
        <is>
          <t>Verificado (OK #5).</t>
        </is>
      </c>
      <c r="P34" s="69">
        <f>LEFT(A34,FIND(".",A34&amp;".")-1)</f>
        <v/>
      </c>
    </row>
    <row r="35" ht="22.35" customHeight="1" s="21">
      <c r="A35" s="65" t="inlineStr">
        <is>
          <t>A1-Q5.4</t>
        </is>
      </c>
      <c r="B35" s="66" t="inlineStr">
        <is>
          <t>A1</t>
        </is>
      </c>
      <c r="C35" s="67" t="inlineStr">
        <is>
          <t>Bytes 7/8/9 do HSCI</t>
        </is>
      </c>
      <c r="D35" s="67" t="inlineStr">
        <is>
          <t>Bytes 7/8/9 = bits 3/4/5 do MAClockSource (opt-IN ADAT, opt-OUT ADAT, S/MUX), enviados na mesma escrita.</t>
        </is>
      </c>
      <c r="E35" s="66" t="inlineStr">
        <is>
          <t>Sim</t>
        </is>
      </c>
      <c r="F35" s="66" t="inlineStr">
        <is>
          <t>Não</t>
        </is>
      </c>
      <c r="G35" s="66" t="inlineStr">
        <is>
          <t>otool</t>
        </is>
      </c>
      <c r="H35" s="66" t="inlineStr">
        <is>
          <t>Não</t>
        </is>
      </c>
      <c r="I35" s="67" t="inlineStr">
        <is>
          <t>asm 0xe3e2..0xe425; snd-bebob bytes 7/8 (formato dig in/out); Ghidra (mostra 0 — artefato)</t>
        </is>
      </c>
      <c r="J35" s="66">
        <f>IF(TRIM(I35)="",0,LEN(I35)-LEN(SUBSTITUTE(I35,";",""))+1)</f>
        <v/>
      </c>
      <c r="K35" s="67" t="inlineStr">
        <is>
          <t>Corrigido 2026-10-14</t>
        </is>
      </c>
      <c r="L35" s="68">
        <f>ROUND(IF(H35="Sim",MIN(Legenda!$C$12,MIN(10,IF(E35="Sim",Legenda!$C$4,IF(E35="Parcial",Legenda!$C$5,0))+IF(F35="Sim",Legenda!$C$6,IF(F35="Parcial",Legenda!$C$7,0))+IF(G35="otool + Ghidra",Legenda!$C$8,IF(OR(G35="otool",G35="Ghidra",G35="Outro binário"),Legenda!$C$9,0))+MIN(Legenda!$C$11,MAX(0,J35-1)*Legenda!$C$10))),IF(H35="Parcial",MIN(Legenda!$C$13,MIN(10,IF(E35="Sim",Legenda!$C$4,IF(E35="Parcial",Legenda!$C$5,0))+IF(F35="Sim",Legenda!$C$6,IF(F35="Parcial",Legenda!$C$7,0))+IF(G35="otool + Ghidra",Legenda!$C$8,IF(OR(G35="otool",G35="Ghidra",G35="Outro binário"),Legenda!$C$9,0))+MIN(Legenda!$C$11,MAX(0,J35-1)*Legenda!$C$10))),MIN(10,IF(E35="Sim",Legenda!$C$4,IF(E35="Parcial",Legenda!$C$5,0))+IF(F35="Sim",Legenda!$C$6,IF(F35="Parcial",Legenda!$C$7,0))+IF(G35="otool + Ghidra",Legenda!$C$8,IF(OR(G35="otool",G35="Ghidra",G35="Outro binário"),Legenda!$C$9,0))+MIN(Legenda!$C$11,MAX(0,J35-1)*Legenda!$C$10)))),1)</f>
        <v/>
      </c>
      <c r="M35" s="67" t="inlineStr">
        <is>
          <t>Q5 Correction 2026-10-14; C2; C3; A2-panel/P-ClockUI-encoding.md §4</t>
        </is>
      </c>
      <c r="N35" s="67" t="inlineStr">
        <is>
          <t>—</t>
        </is>
      </c>
      <c r="O35" s="67" t="inlineStr">
        <is>
          <t>Confirmar com captura FCP no SL.</t>
        </is>
      </c>
      <c r="P35" s="69">
        <f>LEFT(A35,FIND(".",A35&amp;".")-1)</f>
        <v/>
      </c>
    </row>
    <row r="36" ht="32.8" customHeight="1" s="21">
      <c r="A36" s="65" t="inlineStr">
        <is>
          <t>A1-Q5.5</t>
        </is>
      </c>
      <c r="B36" s="66" t="inlineStr">
        <is>
          <t>A1</t>
        </is>
      </c>
      <c r="C36" s="67" t="inlineStr">
        <is>
          <t>Temporização do clock</t>
        </is>
      </c>
      <c r="D36" s="67" t="inlineStr">
        <is>
          <t>IOSleep(300) ×2 ao redor do HSCI; fMode em +0x144; super-chamada a FWAVCAudioDevice::SetClockSourceInternal; SetBlankSlateClockSource dorme 2500 ms e passa (fMode&amp;0x1c)+0x40000003 (descarta o bit 5 S/MUX).</t>
        </is>
      </c>
      <c r="E36" s="66" t="inlineStr">
        <is>
          <t>Sim</t>
        </is>
      </c>
      <c r="F36" s="66" t="inlineStr">
        <is>
          <t>Sim</t>
        </is>
      </c>
      <c r="G36" s="66" t="inlineStr">
        <is>
          <t>otool</t>
        </is>
      </c>
      <c r="H36" s="66" t="inlineStr">
        <is>
          <t>Parcial</t>
        </is>
      </c>
      <c r="I36" s="67" t="inlineStr">
        <is>
          <t>asm 0xe450..0xe487, 0xe522</t>
        </is>
      </c>
      <c r="J36" s="66">
        <f>IF(TRIM(I36)="",0,LEN(I36)-LEN(SUBSTITUTE(I36,";",""))+1)</f>
        <v/>
      </c>
      <c r="K36" s="67" t="inlineStr">
        <is>
          <t>Corrigido 2026-10-14</t>
        </is>
      </c>
      <c r="L36" s="68">
        <f>ROUND(IF(H36="Sim",MIN(Legenda!$C$12,MIN(10,IF(E36="Sim",Legenda!$C$4,IF(E36="Parcial",Legenda!$C$5,0))+IF(F36="Sim",Legenda!$C$6,IF(F36="Parcial",Legenda!$C$7,0))+IF(G36="otool + Ghidra",Legenda!$C$8,IF(OR(G36="otool",G36="Ghidra",G36="Outro binário"),Legenda!$C$9,0))+MIN(Legenda!$C$11,MAX(0,J36-1)*Legenda!$C$10))),IF(H36="Parcial",MIN(Legenda!$C$13,MIN(10,IF(E36="Sim",Legenda!$C$4,IF(E36="Parcial",Legenda!$C$5,0))+IF(F36="Sim",Legenda!$C$6,IF(F36="Parcial",Legenda!$C$7,0))+IF(G36="otool + Ghidra",Legenda!$C$8,IF(OR(G36="otool",G36="Ghidra",G36="Outro binário"),Legenda!$C$9,0))+MIN(Legenda!$C$11,MAX(0,J36-1)*Legenda!$C$10))),MIN(10,IF(E36="Sim",Legenda!$C$4,IF(E36="Parcial",Legenda!$C$5,0))+IF(F36="Sim",Legenda!$C$6,IF(F36="Parcial",Legenda!$C$7,0))+IF(G36="otool + Ghidra",Legenda!$C$8,IF(OR(G36="otool",G36="Ghidra",G36="Outro binário"),Legenda!$C$9,0))+MIN(Legenda!$C$11,MAX(0,J36-1)*Legenda!$C$10)))),1)</f>
        <v/>
      </c>
      <c r="M36" s="67" t="inlineStr">
        <is>
          <t>Q5:135; C2:37,174</t>
        </is>
      </c>
      <c r="N36" s="67" t="inlineStr">
        <is>
          <t>Q5:135; C2:174</t>
        </is>
      </c>
      <c r="O36" s="67" t="inlineStr">
        <is>
          <t>O descarte do bit 5 não está documentado; 'settle do PLL medido no device' sem fonte. [2026-10-14] Bloco Correction inserido; resta verificação (ver Flags_auditoria / aba Painel). | SL v1.9: cada troca de MAClockSource executa duas IOSleep(300) fixas (nao ha espera pelo lock); "settle medido no dispositivo" nao suportado; finalidade das esperas segue NAO verificada. R21</t>
        </is>
      </c>
      <c r="P36" s="69">
        <f>LEFT(A36,FIND(".",A36&amp;".")-1)</f>
        <v/>
      </c>
    </row>
    <row r="37" ht="22.35" customHeight="1" s="21">
      <c r="A37" s="65" t="inlineStr">
        <is>
          <t>A1-Q5.6</t>
        </is>
      </c>
      <c r="B37" s="66" t="inlineStr">
        <is>
          <t>A1</t>
        </is>
      </c>
      <c r="C37" s="67" t="inlineStr">
        <is>
          <t>vt[0xbe0] / vt[0xce8]</t>
        </is>
      </c>
      <c r="D37" s="67" t="inlineStr">
        <is>
          <t>vt[0xbe0] = SwitchDigitalSignals @0xe5dc (não é stream-kick); engine vt[0xce8] = SetExternalSyncEnabled(bool) @0x11bc0 (não 'SetDigitalInputActive').</t>
        </is>
      </c>
      <c r="E37" s="66" t="inlineStr">
        <is>
          <t>Sim</t>
        </is>
      </c>
      <c r="F37" s="66" t="inlineStr">
        <is>
          <t>Não</t>
        </is>
      </c>
      <c r="G37" s="66" t="inlineStr">
        <is>
          <t>otool</t>
        </is>
      </c>
      <c r="H37" s="66" t="inlineStr">
        <is>
          <t>Não</t>
        </is>
      </c>
      <c r="I37" s="67" t="inlineStr">
        <is>
          <t>vtables; asm 0xe4a0</t>
        </is>
      </c>
      <c r="J37" s="66">
        <f>IF(TRIM(I37)="",0,LEN(I37)-LEN(SUBSTITUTE(I37,";",""))+1)</f>
        <v/>
      </c>
      <c r="K37" s="67" t="inlineStr">
        <is>
          <t>Corrigido 2026-10-14</t>
        </is>
      </c>
      <c r="L37" s="68">
        <f>ROUND(IF(H37="Sim",MIN(Legenda!$C$12,MIN(10,IF(E37="Sim",Legenda!$C$4,IF(E37="Parcial",Legenda!$C$5,0))+IF(F37="Sim",Legenda!$C$6,IF(F37="Parcial",Legenda!$C$7,0))+IF(G37="otool + Ghidra",Legenda!$C$8,IF(OR(G37="otool",G37="Ghidra",G37="Outro binário"),Legenda!$C$9,0))+MIN(Legenda!$C$11,MAX(0,J37-1)*Legenda!$C$10))),IF(H37="Parcial",MIN(Legenda!$C$13,MIN(10,IF(E37="Sim",Legenda!$C$4,IF(E37="Parcial",Legenda!$C$5,0))+IF(F37="Sim",Legenda!$C$6,IF(F37="Parcial",Legenda!$C$7,0))+IF(G37="otool + Ghidra",Legenda!$C$8,IF(OR(G37="otool",G37="Ghidra",G37="Outro binário"),Legenda!$C$9,0))+MIN(Legenda!$C$11,MAX(0,J37-1)*Legenda!$C$10))),MIN(10,IF(E37="Sim",Legenda!$C$4,IF(E37="Parcial",Legenda!$C$5,0))+IF(F37="Sim",Legenda!$C$6,IF(F37="Parcial",Legenda!$C$7,0))+IF(G37="otool + Ghidra",Legenda!$C$8,IF(OR(G37="otool",G37="Ghidra",G37="Outro binário"),Legenda!$C$9,0))+MIN(Legenda!$C$11,MAX(0,J37-1)*Legenda!$C$10)))),1)</f>
        <v/>
      </c>
      <c r="M37" s="67" t="inlineStr">
        <is>
          <t>Q5:16,274,315; C2:38,102,287; B1:85; B5:408; P-ClockUI:48</t>
        </is>
      </c>
      <c r="N37" s="67" t="inlineStr">
        <is>
          <t>Top-15 #10</t>
        </is>
      </c>
      <c r="O37" s="67" t="inlineStr">
        <is>
          <t>— [2026-10-14] Bloco Correction inserido nos .md; evidência em docs/system-map/PROVENANCE-RESOLUTIONS.md.</t>
        </is>
      </c>
      <c r="P37" s="69">
        <f>LEFT(A37,FIND(".",A37&amp;".")-1)</f>
        <v/>
      </c>
    </row>
    <row r="38" ht="22.35" customHeight="1" s="21">
      <c r="A38" s="65" t="inlineStr">
        <is>
          <t>A1-Q6.1</t>
        </is>
      </c>
      <c r="B38" s="66" t="inlineStr">
        <is>
          <t>A1</t>
        </is>
      </c>
      <c r="C38" s="67" t="inlineStr">
        <is>
          <t>Poll do HSCI</t>
        </is>
      </c>
      <c r="D38" s="67" t="inlineStr">
        <is>
          <t>Timer de 50 ms lê 0xFFC7:0x600000; [+0xc0] é tamanho em bytes (não taxa&gt;&gt;2); 1000 ms no caminho de erro.</t>
        </is>
      </c>
      <c r="E38" s="66" t="inlineStr">
        <is>
          <t>Sim</t>
        </is>
      </c>
      <c r="F38" s="66" t="inlineStr">
        <is>
          <t>Não</t>
        </is>
      </c>
      <c r="G38" s="66" t="inlineStr">
        <is>
          <t>otool + Ghidra</t>
        </is>
      </c>
      <c r="H38" s="66" t="inlineStr">
        <is>
          <t>Não</t>
        </is>
      </c>
      <c r="I38" s="67" t="inlineStr">
        <is>
          <t>asm 0x1d63b..0x1d641, 0x1d464, 0x1d776</t>
        </is>
      </c>
      <c r="J38" s="66">
        <f>IF(TRIM(I38)="",0,LEN(I38)-LEN(SUBSTITUTE(I38,";",""))+1)</f>
        <v/>
      </c>
      <c r="K38" s="67" t="inlineStr">
        <is>
          <t>Corrigido 2026-10-14</t>
        </is>
      </c>
      <c r="L38" s="68">
        <f>ROUND(IF(H38="Sim",MIN(Legenda!$C$12,MIN(10,IF(E38="Sim",Legenda!$C$4,IF(E38="Parcial",Legenda!$C$5,0))+IF(F38="Sim",Legenda!$C$6,IF(F38="Parcial",Legenda!$C$7,0))+IF(G38="otool + Ghidra",Legenda!$C$8,IF(OR(G38="otool",G38="Ghidra",G38="Outro binário"),Legenda!$C$9,0))+MIN(Legenda!$C$11,MAX(0,J38-1)*Legenda!$C$10))),IF(H38="Parcial",MIN(Legenda!$C$13,MIN(10,IF(E38="Sim",Legenda!$C$4,IF(E38="Parcial",Legenda!$C$5,0))+IF(F38="Sim",Legenda!$C$6,IF(F38="Parcial",Legenda!$C$7,0))+IF(G38="otool + Ghidra",Legenda!$C$8,IF(OR(G38="otool",G38="Ghidra",G38="Outro binário"),Legenda!$C$9,0))+MIN(Legenda!$C$11,MAX(0,J38-1)*Legenda!$C$10))),MIN(10,IF(E38="Sim",Legenda!$C$4,IF(E38="Parcial",Legenda!$C$5,0))+IF(F38="Sim",Legenda!$C$6,IF(F38="Parcial",Legenda!$C$7,0))+IF(G38="otool + Ghidra",Legenda!$C$8,IF(OR(G38="otool",G38="Ghidra",G38="Outro binário"),Legenda!$C$9,0))+MIN(Legenda!$C$11,MAX(0,J38-1)*Legenda!$C$10)))),1)</f>
        <v/>
      </c>
      <c r="M38" s="67" t="inlineStr">
        <is>
          <t>Q6:9; C1:165; C2:59,136</t>
        </is>
      </c>
      <c r="N38" s="67" t="inlineStr">
        <is>
          <t>Q6:9; C1:165; C2:59</t>
        </is>
      </c>
      <c r="O38" s="67" t="inlineStr">
        <is>
          <t>Verificado (OK #11), exceto o rótulo de [+0xc0]. [2026-10-14] Bloco Correction inserido nos .md; evidência em docs/system-map/PROVENANCE-RESOLUTIONS.md.</t>
        </is>
      </c>
      <c r="P38" s="69">
        <f>LEFT(A38,FIND(".",A38&amp;".")-1)</f>
        <v/>
      </c>
    </row>
    <row r="39" ht="22.35" customHeight="1" s="21">
      <c r="A39" s="65" t="inlineStr">
        <is>
          <t>A1-Q6.2</t>
        </is>
      </c>
      <c r="B39" s="66" t="inlineStr">
        <is>
          <t>A1</t>
        </is>
      </c>
      <c r="C39" s="67" t="inlineStr">
        <is>
          <t>Conclusão e rearme do HSCI</t>
        </is>
      </c>
      <c r="D39" s="67" t="inlineStr">
        <is>
          <t>Conclusão via InvokeOnNewThread(HSCISafelyComplete) @0x1d89e (thread nova, não o workloop); rearme em 50+[+0xd4] ms.</t>
        </is>
      </c>
      <c r="E39" s="66" t="inlineStr">
        <is>
          <t>Sim</t>
        </is>
      </c>
      <c r="F39" s="66" t="inlineStr">
        <is>
          <t>Não</t>
        </is>
      </c>
      <c r="G39" s="66" t="inlineStr">
        <is>
          <t>otool</t>
        </is>
      </c>
      <c r="H39" s="66" t="inlineStr">
        <is>
          <t>Não</t>
        </is>
      </c>
      <c r="I39" s="67" t="inlineStr">
        <is>
          <t>asm 0x1d89e, 0x1d4e2, 0x1d50d..0x1d513</t>
        </is>
      </c>
      <c r="J39" s="66">
        <f>IF(TRIM(I39)="",0,LEN(I39)-LEN(SUBSTITUTE(I39,";",""))+1)</f>
        <v/>
      </c>
      <c r="K39" s="67" t="inlineStr">
        <is>
          <t>Corrigido 2026-10-14</t>
        </is>
      </c>
      <c r="L39" s="68">
        <f>ROUND(IF(H39="Sim",MIN(Legenda!$C$12,MIN(10,IF(E39="Sim",Legenda!$C$4,IF(E39="Parcial",Legenda!$C$5,0))+IF(F39="Sim",Legenda!$C$6,IF(F39="Parcial",Legenda!$C$7,0))+IF(G39="otool + Ghidra",Legenda!$C$8,IF(OR(G39="otool",G39="Ghidra",G39="Outro binário"),Legenda!$C$9,0))+MIN(Legenda!$C$11,MAX(0,J39-1)*Legenda!$C$10))),IF(H39="Parcial",MIN(Legenda!$C$13,MIN(10,IF(E39="Sim",Legenda!$C$4,IF(E39="Parcial",Legenda!$C$5,0))+IF(F39="Sim",Legenda!$C$6,IF(F39="Parcial",Legenda!$C$7,0))+IF(G39="otool + Ghidra",Legenda!$C$8,IF(OR(G39="otool",G39="Ghidra",G39="Outro binário"),Legenda!$C$9,0))+MIN(Legenda!$C$11,MAX(0,J39-1)*Legenda!$C$10))),MIN(10,IF(E39="Sim",Legenda!$C$4,IF(E39="Parcial",Legenda!$C$5,0))+IF(F39="Sim",Legenda!$C$6,IF(F39="Parcial",Legenda!$C$7,0))+IF(G39="otool + Ghidra",Legenda!$C$8,IF(OR(G39="otool",G39="Ghidra",G39="Outro binário"),Legenda!$C$9,0))+MIN(Legenda!$C$11,MAX(0,J39-1)*Legenda!$C$10)))),1)</f>
        <v/>
      </c>
      <c r="M39" s="67" t="inlineStr">
        <is>
          <t>Q6:5,23,94,95; C3:57,261; C1:250</t>
        </is>
      </c>
      <c r="N39" s="67" t="inlineStr">
        <is>
          <t>Top-15 #14</t>
        </is>
      </c>
      <c r="O39" s="67" t="inlineStr">
        <is>
          <t>Endereços de função em Q6:5 errados (reais 0x1d80e/0x1d8a4/0x1d8fe/0x1d94e). [2026-10-14] Bloco Correction inserido nos .md; evidência em docs/system-map/PROVENANCE-RESOLUTIONS.md.</t>
        </is>
      </c>
      <c r="P39" s="69">
        <f>LEFT(A39,FIND(".",A39&amp;".")-1)</f>
        <v/>
      </c>
    </row>
    <row r="40" ht="22.35" customHeight="1" s="21">
      <c r="A40" s="65" t="inlineStr">
        <is>
          <t>A1-Q7.1</t>
        </is>
      </c>
      <c r="B40" s="66" t="inlineStr">
        <is>
          <t>A1</t>
        </is>
      </c>
      <c r="C40" s="67" t="inlineStr">
        <is>
          <t>Máquina de estados do FWMetaNub</t>
        </is>
      </c>
      <c r="D40" s="67" t="inlineStr">
        <is>
          <t>6 estados; bootloader vs runtime decidido em probe()/start() pelo Model_ID (0x10070/0x10071).</t>
        </is>
      </c>
      <c r="E40" s="66" t="inlineStr">
        <is>
          <t>Sim</t>
        </is>
      </c>
      <c r="F40" s="66" t="inlineStr">
        <is>
          <t>Sim</t>
        </is>
      </c>
      <c r="G40" s="66" t="inlineStr">
        <is>
          <t>otool</t>
        </is>
      </c>
      <c r="H40" s="66" t="inlineStr">
        <is>
          <t>Não</t>
        </is>
      </c>
      <c r="I40" s="67" t="inlineStr">
        <is>
          <t>Ghidra; asm 0x1beb4; Info.plist; hardware (IDs)</t>
        </is>
      </c>
      <c r="J40" s="66">
        <f>IF(TRIM(I40)="",0,LEN(I40)-LEN(SUBSTITUTE(I40,";",""))+1)</f>
        <v/>
      </c>
      <c r="K40" s="67" t="inlineStr">
        <is>
          <t>Corrigido 2026-10-14</t>
        </is>
      </c>
      <c r="L40" s="68">
        <f>ROUND(IF(H40="Sim",MIN(Legenda!$C$12,MIN(10,IF(E40="Sim",Legenda!$C$4,IF(E40="Parcial",Legenda!$C$5,0))+IF(F40="Sim",Legenda!$C$6,IF(F40="Parcial",Legenda!$C$7,0))+IF(G40="otool + Ghidra",Legenda!$C$8,IF(OR(G40="otool",G40="Ghidra",G40="Outro binário"),Legenda!$C$9,0))+MIN(Legenda!$C$11,MAX(0,J40-1)*Legenda!$C$10))),IF(H40="Parcial",MIN(Legenda!$C$13,MIN(10,IF(E40="Sim",Legenda!$C$4,IF(E40="Parcial",Legenda!$C$5,0))+IF(F40="Sim",Legenda!$C$6,IF(F40="Parcial",Legenda!$C$7,0))+IF(G40="otool + Ghidra",Legenda!$C$8,IF(OR(G40="otool",G40="Ghidra",G40="Outro binário"),Legenda!$C$9,0))+MIN(Legenda!$C$11,MAX(0,J40-1)*Legenda!$C$10))),MIN(10,IF(E40="Sim",Legenda!$C$4,IF(E40="Parcial",Legenda!$C$5,0))+IF(F40="Sim",Legenda!$C$6,IF(F40="Parcial",Legenda!$C$7,0))+IF(G40="otool + Ghidra",Legenda!$C$8,IF(OR(G40="otool",G40="Ghidra",G40="Outro binário"),Legenda!$C$9,0))+MIN(Legenda!$C$11,MAX(0,J40-1)*Legenda!$C$10)))),1)</f>
        <v/>
      </c>
      <c r="M40" s="67" t="inlineStr">
        <is>
          <t>A1-ghidra/Q7-fwmetanub-lifecycle.md; Q-INFO</t>
        </is>
      </c>
      <c r="N40" s="67" t="inlineStr">
        <is>
          <t>Q7:65,247</t>
        </is>
      </c>
      <c r="O40" s="67" t="inlineStr">
        <is>
          <t>Q7:247 contradito por A4-H2. | 6 estados e escritas de fState verificados no asm; timeout 10 s tambem na leitura; Q7:247 refutado; Q7:65 (global 0x14467c) segue nao resolvido. R17</t>
        </is>
      </c>
      <c r="P40" s="69">
        <f>LEFT(A40,FIND(".",A40&amp;".")-1)</f>
        <v/>
      </c>
    </row>
    <row r="41" ht="22.35" customHeight="1" s="21">
      <c r="A41" s="65" t="inlineStr">
        <is>
          <t>A1-Q7.2</t>
        </is>
      </c>
      <c r="B41" s="66" t="inlineStr">
        <is>
          <t>A1</t>
        </is>
      </c>
      <c r="C41" s="67" t="inlineStr">
        <is>
          <t>Cue de boot (FirmwareStart)</t>
        </is>
      </c>
      <c r="D41" s="67" t="inlineStr">
        <is>
          <t>Escreve 12 bytes {[+0x98], 0x01110000, 0} em 0xFFFF:C8021000.</t>
        </is>
      </c>
      <c r="E41" s="66" t="inlineStr">
        <is>
          <t>Sim</t>
        </is>
      </c>
      <c r="F41" s="66" t="inlineStr">
        <is>
          <t>Não</t>
        </is>
      </c>
      <c r="G41" s="66" t="inlineStr">
        <is>
          <t>otool</t>
        </is>
      </c>
      <c r="H41" s="66" t="inlineStr">
        <is>
          <t>Não</t>
        </is>
      </c>
      <c r="I41" s="67" t="inlineStr">
        <is>
          <t>asm 0x1befa..0x1bf34; macfw (mesmo endereço)</t>
        </is>
      </c>
      <c r="J41" s="66">
        <f>IF(TRIM(I41)="",0,LEN(I41)-LEN(SUBSTITUTE(I41,";",""))+1)</f>
        <v/>
      </c>
      <c r="K41" s="67" t="inlineStr">
        <is>
          <t>Corrigido 2026-10-14</t>
        </is>
      </c>
      <c r="L41" s="68">
        <f>ROUND(IF(H41="Sim",MIN(Legenda!$C$12,MIN(10,IF(E41="Sim",Legenda!$C$4,IF(E41="Parcial",Legenda!$C$5,0))+IF(F41="Sim",Legenda!$C$6,IF(F41="Parcial",Legenda!$C$7,0))+IF(G41="otool + Ghidra",Legenda!$C$8,IF(OR(G41="otool",G41="Ghidra",G41="Outro binário"),Legenda!$C$9,0))+MIN(Legenda!$C$11,MAX(0,J41-1)*Legenda!$C$10))),IF(H41="Parcial",MIN(Legenda!$C$13,MIN(10,IF(E41="Sim",Legenda!$C$4,IF(E41="Parcial",Legenda!$C$5,0))+IF(F41="Sim",Legenda!$C$6,IF(F41="Parcial",Legenda!$C$7,0))+IF(G41="otool + Ghidra",Legenda!$C$8,IF(OR(G41="otool",G41="Ghidra",G41="Outro binário"),Legenda!$C$9,0))+MIN(Legenda!$C$11,MAX(0,J41-1)*Legenda!$C$10))),MIN(10,IF(E41="Sim",Legenda!$C$4,IF(E41="Parcial",Legenda!$C$5,0))+IF(F41="Sim",Legenda!$C$6,IF(F41="Parcial",Legenda!$C$7,0))+IF(G41="otool + Ghidra",Legenda!$C$8,IF(OR(G41="otool",G41="Ghidra",G41="Outro binário"),Legenda!$C$9,0))+MIN(Legenda!$C$11,MAX(0,J41-1)*Legenda!$C$10)))),1)</f>
        <v/>
      </c>
      <c r="M41" s="67" t="inlineStr">
        <is>
          <t>Q7; C1:34; C3:214,283; B4</t>
        </is>
      </c>
      <c r="N41" s="67" t="inlineStr">
        <is>
          <t>C3:214,283</t>
        </is>
      </c>
      <c r="O41" s="67" t="inlineStr">
        <is>
          <t>C3 ainda trata como aberto. [2026-10-14] Bloco Correction inserido nos .md; evidência em docs/system-map/PROVENANCE-RESOLUTIONS.md.</t>
        </is>
      </c>
      <c r="P41" s="69">
        <f>LEFT(A41,FIND(".",A41&amp;".")-1)</f>
        <v/>
      </c>
    </row>
    <row r="42" ht="15" customHeight="1" s="21">
      <c r="A42" s="65" t="inlineStr">
        <is>
          <t>A1-Q7.3</t>
        </is>
      </c>
      <c r="B42" s="66" t="inlineStr">
        <is>
          <t>A1</t>
        </is>
      </c>
      <c r="C42" s="67" t="inlineStr">
        <is>
          <t>Timer de re-registro</t>
        </is>
      </c>
      <c r="D42" s="67" t="inlineStr">
        <is>
          <t>2500 ms (0x9c4 @0x1bc45) após reset de firmware.</t>
        </is>
      </c>
      <c r="E42" s="66" t="inlineStr">
        <is>
          <t>Sim</t>
        </is>
      </c>
      <c r="F42" s="66" t="inlineStr">
        <is>
          <t>Não</t>
        </is>
      </c>
      <c r="G42" s="66" t="inlineStr">
        <is>
          <t>otool</t>
        </is>
      </c>
      <c r="H42" s="66" t="inlineStr">
        <is>
          <t>Não</t>
        </is>
      </c>
      <c r="I42" s="67" t="inlineStr">
        <is>
          <t>asm 0x1bc45</t>
        </is>
      </c>
      <c r="J42" s="66">
        <f>IF(TRIM(I42)="",0,LEN(I42)-LEN(SUBSTITUTE(I42,";",""))+1)</f>
        <v/>
      </c>
      <c r="K42" s="67" t="inlineStr">
        <is>
          <t>Consistente</t>
        </is>
      </c>
      <c r="L42" s="68">
        <f>ROUND(IF(H42="Sim",MIN(Legenda!$C$12,MIN(10,IF(E42="Sim",Legenda!$C$4,IF(E42="Parcial",Legenda!$C$5,0))+IF(F42="Sim",Legenda!$C$6,IF(F42="Parcial",Legenda!$C$7,0))+IF(G42="otool + Ghidra",Legenda!$C$8,IF(OR(G42="otool",G42="Ghidra",G42="Outro binário"),Legenda!$C$9,0))+MIN(Legenda!$C$11,MAX(0,J42-1)*Legenda!$C$10))),IF(H42="Parcial",MIN(Legenda!$C$13,MIN(10,IF(E42="Sim",Legenda!$C$4,IF(E42="Parcial",Legenda!$C$5,0))+IF(F42="Sim",Legenda!$C$6,IF(F42="Parcial",Legenda!$C$7,0))+IF(G42="otool + Ghidra",Legenda!$C$8,IF(OR(G42="otool",G42="Ghidra",G42="Outro binário"),Legenda!$C$9,0))+MIN(Legenda!$C$11,MAX(0,J42-1)*Legenda!$C$10))),MIN(10,IF(E42="Sim",Legenda!$C$4,IF(E42="Parcial",Legenda!$C$5,0))+IF(F42="Sim",Legenda!$C$6,IF(F42="Parcial",Legenda!$C$7,0))+IF(G42="otool + Ghidra",Legenda!$C$8,IF(OR(G42="otool",G42="Ghidra",G42="Outro binário"),Legenda!$C$9,0))+MIN(Legenda!$C$11,MAX(0,J42-1)*Legenda!$C$10)))),1)</f>
        <v/>
      </c>
      <c r="M42" s="67" t="inlineStr">
        <is>
          <t>Q7; C1:36</t>
        </is>
      </c>
      <c r="N42" s="67" t="inlineStr">
        <is>
          <t>—</t>
        </is>
      </c>
      <c r="O42" s="67" t="inlineStr">
        <is>
          <t>Verificado (OK #2).</t>
        </is>
      </c>
      <c r="P42" s="69">
        <f>LEFT(A42,FIND(".",A42&amp;".")-1)</f>
        <v/>
      </c>
    </row>
    <row r="43" ht="22.35" customHeight="1" s="21">
      <c r="A43" s="65" t="inlineStr">
        <is>
          <t>A1-Q7.4</t>
        </is>
      </c>
      <c r="B43" s="66" t="inlineStr">
        <is>
          <t>A1</t>
        </is>
      </c>
      <c r="C43" s="67" t="inlineStr">
        <is>
          <t>FirmwareHalt</t>
        </is>
      </c>
      <c r="D43" s="67" t="inlineStr">
        <is>
          <t>Não escreve nada se o bootloader estiver ativo ([+0xf0]≠0, 0x1c007); HALT só a partir do runtime.</t>
        </is>
      </c>
      <c r="E43" s="66" t="inlineStr">
        <is>
          <t>Sim</t>
        </is>
      </c>
      <c r="F43" s="66" t="inlineStr">
        <is>
          <t>Não</t>
        </is>
      </c>
      <c r="G43" s="66" t="inlineStr">
        <is>
          <t>otool</t>
        </is>
      </c>
      <c r="H43" s="66" t="inlineStr">
        <is>
          <t>Não</t>
        </is>
      </c>
      <c r="I43" s="67" t="inlineStr">
        <is>
          <t>asm 0x1c007..0x1c00e</t>
        </is>
      </c>
      <c r="J43" s="66">
        <f>IF(TRIM(I43)="",0,LEN(I43)-LEN(SUBSTITUTE(I43,";",""))+1)</f>
        <v/>
      </c>
      <c r="K43" s="67" t="inlineStr">
        <is>
          <t>Corrigido 2026-10-14</t>
        </is>
      </c>
      <c r="L43" s="68">
        <f>ROUND(IF(H43="Sim",MIN(Legenda!$C$12,MIN(10,IF(E43="Sim",Legenda!$C$4,IF(E43="Parcial",Legenda!$C$5,0))+IF(F43="Sim",Legenda!$C$6,IF(F43="Parcial",Legenda!$C$7,0))+IF(G43="otool + Ghidra",Legenda!$C$8,IF(OR(G43="otool",G43="Ghidra",G43="Outro binário"),Legenda!$C$9,0))+MIN(Legenda!$C$11,MAX(0,J43-1)*Legenda!$C$10))),IF(H43="Parcial",MIN(Legenda!$C$13,MIN(10,IF(E43="Sim",Legenda!$C$4,IF(E43="Parcial",Legenda!$C$5,0))+IF(F43="Sim",Legenda!$C$6,IF(F43="Parcial",Legenda!$C$7,0))+IF(G43="otool + Ghidra",Legenda!$C$8,IF(OR(G43="otool",G43="Ghidra",G43="Outro binário"),Legenda!$C$9,0))+MIN(Legenda!$C$11,MAX(0,J43-1)*Legenda!$C$10))),MIN(10,IF(E43="Sim",Legenda!$C$4,IF(E43="Parcial",Legenda!$C$5,0))+IF(F43="Sim",Legenda!$C$6,IF(F43="Parcial",Legenda!$C$7,0))+IF(G43="otool + Ghidra",Legenda!$C$8,IF(OR(G43="otool",G43="Ghidra",G43="Outro binário"),Legenda!$C$9,0))+MIN(Legenda!$C$11,MAX(0,J43-1)*Legenda!$C$10)))),1)</f>
        <v/>
      </c>
      <c r="M43" s="67" t="inlineStr">
        <is>
          <t>C1:27,201</t>
        </is>
      </c>
      <c r="N43" s="67" t="inlineStr">
        <is>
          <t>C1:27,201</t>
        </is>
      </c>
      <c r="O43" s="67" t="inlineStr">
        <is>
          <t>C3:208 está correto. [2026-10-14] Bloco Correction inserido nos .md; evidência em docs/system-map/PROVENANCE-RESOLUTIONS.md.</t>
        </is>
      </c>
      <c r="P43" s="69">
        <f>LEFT(A43,FIND(".",A43&amp;".")-1)</f>
        <v/>
      </c>
    </row>
    <row r="44" ht="22.35" customHeight="1" s="21">
      <c r="A44" s="65" t="inlineStr">
        <is>
          <t>A1-Q8.1</t>
        </is>
      </c>
      <c r="B44" s="66" t="inlineStr">
        <is>
          <t>A1</t>
        </is>
      </c>
      <c r="C44" s="67" t="inlineStr">
        <is>
          <t>MakeAppleFWAudioGoAway</t>
        </is>
      </c>
      <c r="D44" s="67" t="inlineStr">
        <is>
          <t>Casa só 'FW Solo' (IOFireWireAVCSubUnit, SubUnit_Type 1/12), score 0x7FFFFF; FW1814 fora do plist.</t>
        </is>
      </c>
      <c r="E44" s="66" t="inlineStr">
        <is>
          <t>Sim</t>
        </is>
      </c>
      <c r="F44" s="66" t="inlineStr">
        <is>
          <t>Não</t>
        </is>
      </c>
      <c r="G44" s="66" t="inlineStr">
        <is>
          <t>Ghidra</t>
        </is>
      </c>
      <c r="H44" s="66" t="inlineStr">
        <is>
          <t>Não</t>
        </is>
      </c>
      <c r="I44" s="67" t="inlineStr">
        <is>
          <t>Info.plist; Ghidra</t>
        </is>
      </c>
      <c r="J44" s="66">
        <f>IF(TRIM(I44)="",0,LEN(I44)-LEN(SUBSTITUTE(I44,";",""))+1)</f>
        <v/>
      </c>
      <c r="K44" s="67" t="inlineStr">
        <is>
          <t>Consistente</t>
        </is>
      </c>
      <c r="L44" s="68">
        <f>ROUND(IF(H44="Sim",MIN(Legenda!$C$12,MIN(10,IF(E44="Sim",Legenda!$C$4,IF(E44="Parcial",Legenda!$C$5,0))+IF(F44="Sim",Legenda!$C$6,IF(F44="Parcial",Legenda!$C$7,0))+IF(G44="otool + Ghidra",Legenda!$C$8,IF(OR(G44="otool",G44="Ghidra",G44="Outro binário"),Legenda!$C$9,0))+MIN(Legenda!$C$11,MAX(0,J44-1)*Legenda!$C$10))),IF(H44="Parcial",MIN(Legenda!$C$13,MIN(10,IF(E44="Sim",Legenda!$C$4,IF(E44="Parcial",Legenda!$C$5,0))+IF(F44="Sim",Legenda!$C$6,IF(F44="Parcial",Legenda!$C$7,0))+IF(G44="otool + Ghidra",Legenda!$C$8,IF(OR(G44="otool",G44="Ghidra",G44="Outro binário"),Legenda!$C$9,0))+MIN(Legenda!$C$11,MAX(0,J44-1)*Legenda!$C$10))),MIN(10,IF(E44="Sim",Legenda!$C$4,IF(E44="Parcial",Legenda!$C$5,0))+IF(F44="Sim",Legenda!$C$6,IF(F44="Parcial",Legenda!$C$7,0))+IF(G44="otool + Ghidra",Legenda!$C$8,IF(OR(G44="otool",G44="Ghidra",G44="Outro binário"),Legenda!$C$9,0))+MIN(Legenda!$C$11,MAX(0,J44-1)*Legenda!$C$10)))),1)</f>
        <v/>
      </c>
      <c r="M44" s="67" t="inlineStr">
        <is>
          <t>A1-ghidra/Q8-makeapplefwaudiogoaway.md; Q-INFO</t>
        </is>
      </c>
      <c r="N44" s="67" t="inlineStr">
        <is>
          <t>—</t>
        </is>
      </c>
      <c r="O44" s="67" t="inlineStr">
        <is>
          <t>O clone estende para 'FW 1814' deliberadamente (desvio documentado).</t>
        </is>
      </c>
      <c r="P44" s="69">
        <f>LEFT(A44,FIND(".",A44&amp;".")-1)</f>
        <v/>
      </c>
    </row>
    <row r="45" ht="32.8" customHeight="1" s="21">
      <c r="A45" s="65" t="inlineStr">
        <is>
          <t>A1-Q-INFO.1</t>
        </is>
      </c>
      <c r="B45" s="66" t="inlineStr">
        <is>
          <t>A1</t>
        </is>
      </c>
      <c r="C45" s="67" t="inlineStr">
        <is>
          <t>Personalidades do Info.plist</t>
        </is>
      </c>
      <c r="D45" s="67" t="inlineStr">
        <is>
          <t>FWMetaNub em IOFireWireDevice, sem filtro de Model_ID nem IOProbeScore; produto por 'FireWire Product Name' = 'FW 1814'; IOUserClientClass = com_m_audio_FWUserClient.</t>
        </is>
      </c>
      <c r="E45" s="66" t="inlineStr">
        <is>
          <t>Sim</t>
        </is>
      </c>
      <c r="F45" s="66" t="inlineStr">
        <is>
          <t>Não</t>
        </is>
      </c>
      <c r="G45" s="66" t="inlineStr">
        <is>
          <t>Outro binário</t>
        </is>
      </c>
      <c r="H45" s="66" t="inlineStr">
        <is>
          <t>Não</t>
        </is>
      </c>
      <c r="I45" s="67" t="inlineStr">
        <is>
          <t>Info.plist (plutil); asm CopyPropertyFrom 0x1d004</t>
        </is>
      </c>
      <c r="J45" s="66">
        <f>IF(TRIM(I45)="",0,LEN(I45)-LEN(SUBSTITUTE(I45,";",""))+1)</f>
        <v/>
      </c>
      <c r="K45" s="67" t="inlineStr">
        <is>
          <t>Consistente</t>
        </is>
      </c>
      <c r="L45" s="68">
        <f>ROUND(IF(H45="Sim",MIN(Legenda!$C$12,MIN(10,IF(E45="Sim",Legenda!$C$4,IF(E45="Parcial",Legenda!$C$5,0))+IF(F45="Sim",Legenda!$C$6,IF(F45="Parcial",Legenda!$C$7,0))+IF(G45="otool + Ghidra",Legenda!$C$8,IF(OR(G45="otool",G45="Ghidra",G45="Outro binário"),Legenda!$C$9,0))+MIN(Legenda!$C$11,MAX(0,J45-1)*Legenda!$C$10))),IF(H45="Parcial",MIN(Legenda!$C$13,MIN(10,IF(E45="Sim",Legenda!$C$4,IF(E45="Parcial",Legenda!$C$5,0))+IF(F45="Sim",Legenda!$C$6,IF(F45="Parcial",Legenda!$C$7,0))+IF(G45="otool + Ghidra",Legenda!$C$8,IF(OR(G45="otool",G45="Ghidra",G45="Outro binário"),Legenda!$C$9,0))+MIN(Legenda!$C$11,MAX(0,J45-1)*Legenda!$C$10))),MIN(10,IF(E45="Sim",Legenda!$C$4,IF(E45="Parcial",Legenda!$C$5,0))+IF(F45="Sim",Legenda!$C$6,IF(F45="Parcial",Legenda!$C$7,0))+IF(G45="otool + Ghidra",Legenda!$C$8,IF(OR(G45="otool",G45="Ghidra",G45="Outro binário"),Legenda!$C$9,0))+MIN(Legenda!$C$11,MAX(0,J45-1)*Legenda!$C$10)))),1)</f>
        <v/>
      </c>
      <c r="M45" s="67" t="inlineStr">
        <is>
          <t>A1-ghidra/Q-INFO-plist.md</t>
        </is>
      </c>
      <c r="N45" s="67" t="inlineStr">
        <is>
          <t>—</t>
        </is>
      </c>
      <c r="O45" s="67" t="inlineStr">
        <is>
          <t>Origem de 'FireWire Product Name' no IOFireWireDevice não verificada.</t>
        </is>
      </c>
      <c r="P45" s="69">
        <f>LEFT(A45,FIND(".",A45&amp;".")-1)</f>
        <v/>
      </c>
    </row>
    <row r="46" ht="22.35" customHeight="1" s="21">
      <c r="A46" s="65" t="inlineStr">
        <is>
          <t>A1-Q9.1</t>
        </is>
      </c>
      <c r="B46" s="66" t="inlineStr">
        <is>
          <t>A1</t>
        </is>
      </c>
      <c r="C46" s="67" t="inlineStr">
        <is>
          <t>WorkaroundFor1814InputDelay</t>
        </is>
      </c>
      <c r="D46" s="67" t="inlineStr">
        <is>
          <t>Anel de atraso de 16 entradas (ch0..6) substitui o convert proc quando a entrada ≠ 2 canais; portanto desligado a 176.4/192 kHz.</t>
        </is>
      </c>
      <c r="E46" s="66" t="inlineStr">
        <is>
          <t>Parcial</t>
        </is>
      </c>
      <c r="F46" s="66" t="inlineStr">
        <is>
          <t>Não</t>
        </is>
      </c>
      <c r="G46" s="66" t="inlineStr">
        <is>
          <t>Ghidra</t>
        </is>
      </c>
      <c r="H46" s="66" t="inlineStr">
        <is>
          <t>Não</t>
        </is>
      </c>
      <c r="I46" s="67" t="inlineStr">
        <is>
          <t>Ghidra; tabela s176_192</t>
        </is>
      </c>
      <c r="J46" s="66">
        <f>IF(TRIM(I46)="",0,LEN(I46)-LEN(SUBSTITUTE(I46,";",""))+1)</f>
        <v/>
      </c>
      <c r="K46" s="67" t="inlineStr">
        <is>
          <t>Corrigido 2026-10-14</t>
        </is>
      </c>
      <c r="L46" s="68">
        <f>ROUND(IF(H46="Sim",MIN(Legenda!$C$12,MIN(10,IF(E46="Sim",Legenda!$C$4,IF(E46="Parcial",Legenda!$C$5,0))+IF(F46="Sim",Legenda!$C$6,IF(F46="Parcial",Legenda!$C$7,0))+IF(G46="otool + Ghidra",Legenda!$C$8,IF(OR(G46="otool",G46="Ghidra",G46="Outro binário"),Legenda!$C$9,0))+MIN(Legenda!$C$11,MAX(0,J46-1)*Legenda!$C$10))),IF(H46="Parcial",MIN(Legenda!$C$13,MIN(10,IF(E46="Sim",Legenda!$C$4,IF(E46="Parcial",Legenda!$C$5,0))+IF(F46="Sim",Legenda!$C$6,IF(F46="Parcial",Legenda!$C$7,0))+IF(G46="otool + Ghidra",Legenda!$C$8,IF(OR(G46="otool",G46="Ghidra",G46="Outro binário"),Legenda!$C$9,0))+MIN(Legenda!$C$11,MAX(0,J46-1)*Legenda!$C$10))),MIN(10,IF(E46="Sim",Legenda!$C$4,IF(E46="Parcial",Legenda!$C$5,0))+IF(F46="Sim",Legenda!$C$6,IF(F46="Parcial",Legenda!$C$7,0))+IF(G46="otool + Ghidra",Legenda!$C$8,IF(OR(G46="otool",G46="Ghidra",G46="Outro binário"),Legenda!$C$9,0))+MIN(Legenda!$C$11,MAX(0,J46-1)*Legenda!$C$10)))),1)</f>
        <v/>
      </c>
      <c r="M46" s="67" t="inlineStr">
        <is>
          <t>A1-ghidra/Q9-workaround-input-delay.md; C6:81</t>
        </is>
      </c>
      <c r="N46" s="67" t="inlineStr">
        <is>
          <t>C6:81</t>
        </is>
      </c>
      <c r="O46" s="67" t="inlineStr">
        <is>
          <t>C6 diz 'sempre ligado'. [2026-10-14] Bloco Correction inserido nos .md; evidência em docs/system-map/PROVENANCE-RESOLUTIONS.md.</t>
        </is>
      </c>
      <c r="P46" s="69">
        <f>LEFT(A46,FIND(".",A46&amp;".")-1)</f>
        <v/>
      </c>
    </row>
    <row r="47" ht="15" customHeight="1" s="21">
      <c r="A47" s="65" t="inlineStr">
        <is>
          <t>A1-Q10.1</t>
        </is>
      </c>
      <c r="B47" s="66" t="inlineStr">
        <is>
          <t>A1</t>
        </is>
      </c>
      <c r="C47" s="67" t="inlineStr">
        <is>
          <t>Latência de ida-e-volta por FDF</t>
        </is>
      </c>
      <c r="D47" s="67" t="inlineStr">
        <is>
          <t>210/210/225/358/378/642/698 frames (tabela 0xcf78).</t>
        </is>
      </c>
      <c r="E47" s="66" t="inlineStr">
        <is>
          <t>Sim</t>
        </is>
      </c>
      <c r="F47" s="66" t="inlineStr">
        <is>
          <t>Não</t>
        </is>
      </c>
      <c r="G47" s="66" t="inlineStr">
        <is>
          <t>otool + Ghidra</t>
        </is>
      </c>
      <c r="H47" s="66" t="inlineStr">
        <is>
          <t>Não</t>
        </is>
      </c>
      <c r="I47" s="67" t="inlineStr">
        <is>
          <t>asm 0xcf30/0xcf78</t>
        </is>
      </c>
      <c r="J47" s="66">
        <f>IF(TRIM(I47)="",0,LEN(I47)-LEN(SUBSTITUTE(I47,";",""))+1)</f>
        <v/>
      </c>
      <c r="K47" s="67" t="inlineStr">
        <is>
          <t>Consistente</t>
        </is>
      </c>
      <c r="L47" s="68">
        <f>ROUND(IF(H47="Sim",MIN(Legenda!$C$12,MIN(10,IF(E47="Sim",Legenda!$C$4,IF(E47="Parcial",Legenda!$C$5,0))+IF(F47="Sim",Legenda!$C$6,IF(F47="Parcial",Legenda!$C$7,0))+IF(G47="otool + Ghidra",Legenda!$C$8,IF(OR(G47="otool",G47="Ghidra",G47="Outro binário"),Legenda!$C$9,0))+MIN(Legenda!$C$11,MAX(0,J47-1)*Legenda!$C$10))),IF(H47="Parcial",MIN(Legenda!$C$13,MIN(10,IF(E47="Sim",Legenda!$C$4,IF(E47="Parcial",Legenda!$C$5,0))+IF(F47="Sim",Legenda!$C$6,IF(F47="Parcial",Legenda!$C$7,0))+IF(G47="otool + Ghidra",Legenda!$C$8,IF(OR(G47="otool",G47="Ghidra",G47="Outro binário"),Legenda!$C$9,0))+MIN(Legenda!$C$11,MAX(0,J47-1)*Legenda!$C$10))),MIN(10,IF(E47="Sim",Legenda!$C$4,IF(E47="Parcial",Legenda!$C$5,0))+IF(F47="Sim",Legenda!$C$6,IF(F47="Parcial",Legenda!$C$7,0))+IF(G47="otool + Ghidra",Legenda!$C$8,IF(OR(G47="otool",G47="Ghidra",G47="Outro binário"),Legenda!$C$9,0))+MIN(Legenda!$C$11,MAX(0,J47-1)*Legenda!$C$10)))),1)</f>
        <v/>
      </c>
      <c r="M47" s="67" t="inlineStr">
        <is>
          <t>A1-ghidra/Q10-roundtrip-latency.md; C6</t>
        </is>
      </c>
      <c r="N47" s="67" t="inlineStr">
        <is>
          <t>C6:57</t>
        </is>
      </c>
      <c r="O47" s="67" t="inlineStr">
        <is>
          <t>Verificado (OK #17). Comparar com medição de loopback (M-L).</t>
        </is>
      </c>
      <c r="P47" s="69">
        <f>LEFT(A47,FIND(".",A47&amp;".")-1)</f>
        <v/>
      </c>
    </row>
    <row r="48" ht="32.8" customHeight="1" s="21">
      <c r="A48" s="65" t="inlineStr">
        <is>
          <t>A1-Q-UC.1</t>
        </is>
      </c>
      <c r="B48" s="66" t="inlineStr">
        <is>
          <t>A1</t>
        </is>
      </c>
      <c r="C48" s="67" t="inlineStr">
        <is>
          <t>Tabela de seletores 500–507</t>
        </is>
      </c>
      <c r="D48" s="67" t="inlineStr">
        <is>
          <t>IOExternalMethod legado: 500/501/502 ScalarIScalarO; 503 StructIStructO 280→4 bytes; 504 ScalarIStructI variável; 505 StructIStructO variável; 506/507 virtuais WaitForTermination / SetInitializedProperty.</t>
        </is>
      </c>
      <c r="E48" s="66" t="inlineStr">
        <is>
          <t>Sim</t>
        </is>
      </c>
      <c r="F48" s="66" t="inlineStr">
        <is>
          <t>Não</t>
        </is>
      </c>
      <c r="G48" s="66" t="inlineStr">
        <is>
          <t>otool + Ghidra</t>
        </is>
      </c>
      <c r="H48" s="66" t="inlineStr">
        <is>
          <t>Não</t>
        </is>
      </c>
      <c r="I48" s="67" t="inlineStr">
        <is>
          <t>bytes sMethods 0x339e0; relocações otool -rv; vtable 0x33c50; enum IOUserClient.h:47-51 (SDK 10.13)</t>
        </is>
      </c>
      <c r="J48" s="66">
        <f>IF(TRIM(I48)="",0,LEN(I48)-LEN(SUBSTITUTE(I48,";",""))+1)</f>
        <v/>
      </c>
      <c r="K48" s="67" t="inlineStr">
        <is>
          <t>Corrigido 2026-10-14</t>
        </is>
      </c>
      <c r="L48" s="68">
        <f>ROUND(IF(H48="Sim",MIN(Legenda!$C$12,MIN(10,IF(E48="Sim",Legenda!$C$4,IF(E48="Parcial",Legenda!$C$5,0))+IF(F48="Sim",Legenda!$C$6,IF(F48="Parcial",Legenda!$C$7,0))+IF(G48="otool + Ghidra",Legenda!$C$8,IF(OR(G48="otool",G48="Ghidra",G48="Outro binário"),Legenda!$C$9,0))+MIN(Legenda!$C$11,MAX(0,J48-1)*Legenda!$C$10))),IF(H48="Parcial",MIN(Legenda!$C$13,MIN(10,IF(E48="Sim",Legenda!$C$4,IF(E48="Parcial",Legenda!$C$5,0))+IF(F48="Sim",Legenda!$C$6,IF(F48="Parcial",Legenda!$C$7,0))+IF(G48="otool + Ghidra",Legenda!$C$8,IF(OR(G48="otool",G48="Ghidra",G48="Outro binário"),Legenda!$C$9,0))+MIN(Legenda!$C$11,MAX(0,J48-1)*Legenda!$C$10))),MIN(10,IF(E48="Sim",Legenda!$C$4,IF(E48="Parcial",Legenda!$C$5,0))+IF(F48="Sim",Legenda!$C$6,IF(F48="Parcial",Legenda!$C$7,0))+IF(G48="otool + Ghidra",Legenda!$C$8,IF(OR(G48="otool",G48="Ghidra",G48="Outro binário"),Legenda!$C$9,0))+MIN(Legenda!$C$11,MAX(0,J48-1)*Legenda!$C$10)))),1)</f>
        <v/>
      </c>
      <c r="M48" s="67" t="inlineStr">
        <is>
          <t>A1-ghidra/Q-UC-surface.md §2; Q11 (Correction); C3:184-189; C5:35-43,347; D:116</t>
        </is>
      </c>
      <c r="N48" s="67" t="inlineStr">
        <is>
          <t>Top-15 #6</t>
        </is>
      </c>
      <c r="O48" s="67" t="inlineStr">
        <is>
          <t>C5/C3/D sem bloco de correção. [2026-10-14] Bloco Correction inserido nos .md; evidência em docs/system-map/PROVENANCE-RESOLUTIONS.md.</t>
        </is>
      </c>
      <c r="P48" s="69">
        <f>LEFT(A48,FIND(".",A48&amp;".")-1)</f>
        <v/>
      </c>
    </row>
    <row r="49" ht="22.35" customHeight="1" s="21">
      <c r="A49" s="65" t="inlineStr">
        <is>
          <t>A1-Q-UC.2</t>
        </is>
      </c>
      <c r="B49" s="66" t="inlineStr">
        <is>
          <t>A1</t>
        </is>
      </c>
      <c r="C49" s="67" t="inlineStr">
        <is>
          <t>FWKIPCUserClient é classe-base</t>
        </is>
      </c>
      <c r="D49" s="67" t="inlineStr">
        <is>
          <t>com_m_audio_FWUserClient deriva de m_audio_b_FWKIPCUserClient (vivo, não código morto).</t>
        </is>
      </c>
      <c r="E49" s="66" t="inlineStr">
        <is>
          <t>Sim</t>
        </is>
      </c>
      <c r="F49" s="66" t="inlineStr">
        <is>
          <t>Parcial</t>
        </is>
      </c>
      <c r="G49" s="66" t="inlineStr">
        <is>
          <t>otool</t>
        </is>
      </c>
      <c r="H49" s="66" t="inlineStr">
        <is>
          <t>Não</t>
        </is>
      </c>
      <c r="I49" s="67" t="inlineStr">
        <is>
          <t>metaclass; alloc 0x752f; vtable slot 0x960; ioreg B5 (2 FWUserClient: painel + helper, v1.9)</t>
        </is>
      </c>
      <c r="J49" s="66">
        <f>IF(TRIM(I49)="",0,LEN(I49)-LEN(SUBSTITUTE(I49,";",""))+1)</f>
        <v/>
      </c>
      <c r="K49" s="67" t="inlineStr">
        <is>
          <t>Corrigido 2026-10-14</t>
        </is>
      </c>
      <c r="L49" s="68">
        <f>ROUND(IF(H49="Sim",MIN(Legenda!$C$12,MIN(10,IF(E49="Sim",Legenda!$C$4,IF(E49="Parcial",Legenda!$C$5,0))+IF(F49="Sim",Legenda!$C$6,IF(F49="Parcial",Legenda!$C$7,0))+IF(G49="otool + Ghidra",Legenda!$C$8,IF(OR(G49="otool",G49="Ghidra",G49="Outro binário"),Legenda!$C$9,0))+MIN(Legenda!$C$11,MAX(0,J49-1)*Legenda!$C$10))),IF(H49="Parcial",MIN(Legenda!$C$13,MIN(10,IF(E49="Sim",Legenda!$C$4,IF(E49="Parcial",Legenda!$C$5,0))+IF(F49="Sim",Legenda!$C$6,IF(F49="Parcial",Legenda!$C$7,0))+IF(G49="otool + Ghidra",Legenda!$C$8,IF(OR(G49="otool",G49="Ghidra",G49="Outro binário"),Legenda!$C$9,0))+MIN(Legenda!$C$11,MAX(0,J49-1)*Legenda!$C$10))),MIN(10,IF(E49="Sim",Legenda!$C$4,IF(E49="Parcial",Legenda!$C$5,0))+IF(F49="Sim",Legenda!$C$6,IF(F49="Parcial",Legenda!$C$7,0))+IF(G49="otool + Ghidra",Legenda!$C$8,IF(OR(G49="otool",G49="Ghidra",G49="Outro binário"),Legenda!$C$9,0))+MIN(Legenda!$C$11,MAX(0,J49-1)*Legenda!$C$10)))),1)</f>
        <v/>
      </c>
      <c r="M49" s="67" t="inlineStr">
        <is>
          <t>Q-UC-surface.md §1; C5:18-22,47,346; D:79,117,216</t>
        </is>
      </c>
      <c r="N49" s="67" t="inlineStr">
        <is>
          <t>C5:18-22</t>
        </is>
      </c>
      <c r="O49" s="67" t="inlineStr">
        <is>
          <t>A herança em si não foi observada ao vivo; só as instâncias. [2026-10-14] Bloco Correction inserido nos .md; evidência em docs/system-map/PROVENANCE-RESOLUTIONS.md.</t>
        </is>
      </c>
      <c r="P49" s="69">
        <f>LEFT(A49,FIND(".",A49&amp;".")-1)</f>
        <v/>
      </c>
    </row>
    <row r="50" ht="32.8" customHeight="1" s="21">
      <c r="A50" s="65" t="inlineStr">
        <is>
          <t>A1-Q-UC.3</t>
        </is>
      </c>
      <c r="B50" s="66" t="inlineStr">
        <is>
          <t>A1</t>
        </is>
      </c>
      <c r="C50" s="67" t="inlineStr">
        <is>
          <t>Página de medidores</t>
        </is>
      </c>
      <c r="D50" s="67" t="inlineStr">
        <is>
          <t>Página de 4 KiB compartilhada (withOptions(0x10000,0x1000,0x1000)); uint32 peak[52] = 38 de hardware + 14 de retorno SW; escrita por ReceiveControlPacket; hardware só ≤96 kHz.</t>
        </is>
      </c>
      <c r="E50" s="66" t="inlineStr">
        <is>
          <t>Sim</t>
        </is>
      </c>
      <c r="F50" s="66" t="inlineStr">
        <is>
          <t>Sim</t>
        </is>
      </c>
      <c r="G50" s="66" t="inlineStr">
        <is>
          <t>otool + Ghidra</t>
        </is>
      </c>
      <c r="H50" s="66" t="inlineStr">
        <is>
          <t>Não</t>
        </is>
      </c>
      <c r="I50" s="67" t="inlineStr">
        <is>
          <t>asm 0x3598..0x3635, 0x1d30, 0xe9ea; Ghidra; captura B5 70 (sem tráfego MIG, v1.9)</t>
        </is>
      </c>
      <c r="J50" s="66">
        <f>IF(TRIM(I50)="",0,LEN(I50)-LEN(SUBSTITUTE(I50,";",""))+1)</f>
        <v/>
      </c>
      <c r="K50" s="67" t="inlineStr">
        <is>
          <t>Corrigido 2026-10-14</t>
        </is>
      </c>
      <c r="L50" s="68">
        <f>ROUND(IF(H50="Sim",MIN(Legenda!$C$12,MIN(10,IF(E50="Sim",Legenda!$C$4,IF(E50="Parcial",Legenda!$C$5,0))+IF(F50="Sim",Legenda!$C$6,IF(F50="Parcial",Legenda!$C$7,0))+IF(G50="otool + Ghidra",Legenda!$C$8,IF(OR(G50="otool",G50="Ghidra",G50="Outro binário"),Legenda!$C$9,0))+MIN(Legenda!$C$11,MAX(0,J50-1)*Legenda!$C$10))),IF(H50="Parcial",MIN(Legenda!$C$13,MIN(10,IF(E50="Sim",Legenda!$C$4,IF(E50="Parcial",Legenda!$C$5,0))+IF(F50="Sim",Legenda!$C$6,IF(F50="Parcial",Legenda!$C$7,0))+IF(G50="otool + Ghidra",Legenda!$C$8,IF(OR(G50="otool",G50="Ghidra",G50="Outro binário"),Legenda!$C$9,0))+MIN(Legenda!$C$11,MAX(0,J50-1)*Legenda!$C$10))),MIN(10,IF(E50="Sim",Legenda!$C$4,IF(E50="Parcial",Legenda!$C$5,0))+IF(F50="Sim",Legenda!$C$6,IF(F50="Parcial",Legenda!$C$7,0))+IF(G50="otool + Ghidra",Legenda!$C$8,IF(OR(G50="otool",G50="Ghidra",G50="Outro binário"),Legenda!$C$9,0))+MIN(Legenda!$C$11,MAX(0,J50-1)*Legenda!$C$10)))),1)</f>
        <v/>
      </c>
      <c r="M50" s="67" t="inlineStr">
        <is>
          <t>Q-UC-surface.md §3; C3:27,160,174; C5:89-109; A2-P9:212; D:157</t>
        </is>
      </c>
      <c r="N50" s="67" t="inlineStr">
        <is>
          <t>Top-15 #12</t>
        </is>
      </c>
      <c r="O50" s="67" t="inlineStr">
        <is>
          <t>Cadência = taxa dos pacotes de controle (não medida). 'level[70]' era número de captura. [2026-10-14] Bloco Correction inserido nos .md; evidência em docs/system-map/PROVENANCE-RESOLUTIONS.md.</t>
        </is>
      </c>
      <c r="P50" s="69">
        <f>LEFT(A50,FIND(".",A50&amp;".")-1)</f>
        <v/>
      </c>
    </row>
    <row r="51" ht="22.35" customHeight="1" s="21">
      <c r="A51" s="65" t="inlineStr">
        <is>
          <t>A1-Q-UC.4</t>
        </is>
      </c>
      <c r="B51" s="66" t="inlineStr">
        <is>
          <t>A1</t>
        </is>
      </c>
      <c r="C51" s="67" t="inlineStr">
        <is>
          <t>Mapeamentos 0x400|n / 0x800|n</t>
        </is>
      </c>
      <c r="D51" s="67" t="inlineStr">
        <is>
          <t>Anéis MIDI: 0x400|n RX somente leitura, 0x800|n TX gravável; tipo 1 = medidores; outros → 0xE00002C7.</t>
        </is>
      </c>
      <c r="E51" s="66" t="inlineStr">
        <is>
          <t>Sim</t>
        </is>
      </c>
      <c r="F51" s="66" t="inlineStr">
        <is>
          <t>Não</t>
        </is>
      </c>
      <c r="G51" s="66" t="inlineStr">
        <is>
          <t>otool + Ghidra</t>
        </is>
      </c>
      <c r="H51" s="66" t="inlineStr">
        <is>
          <t>Não</t>
        </is>
      </c>
      <c r="I51" s="67" t="inlineStr">
        <is>
          <t>asm 0x7220; A3-M4/M7</t>
        </is>
      </c>
      <c r="J51" s="66">
        <f>IF(TRIM(I51)="",0,LEN(I51)-LEN(SUBSTITUTE(I51,";",""))+1)</f>
        <v/>
      </c>
      <c r="K51" s="67" t="inlineStr">
        <is>
          <t>Corrigido 2026-10-14</t>
        </is>
      </c>
      <c r="L51" s="68">
        <f>ROUND(IF(H51="Sim",MIN(Legenda!$C$12,MIN(10,IF(E51="Sim",Legenda!$C$4,IF(E51="Parcial",Legenda!$C$5,0))+IF(F51="Sim",Legenda!$C$6,IF(F51="Parcial",Legenda!$C$7,0))+IF(G51="otool + Ghidra",Legenda!$C$8,IF(OR(G51="otool",G51="Ghidra",G51="Outro binário"),Legenda!$C$9,0))+MIN(Legenda!$C$11,MAX(0,J51-1)*Legenda!$C$10))),IF(H51="Parcial",MIN(Legenda!$C$13,MIN(10,IF(E51="Sim",Legenda!$C$4,IF(E51="Parcial",Legenda!$C$5,0))+IF(F51="Sim",Legenda!$C$6,IF(F51="Parcial",Legenda!$C$7,0))+IF(G51="otool + Ghidra",Legenda!$C$8,IF(OR(G51="otool",G51="Ghidra",G51="Outro binário"),Legenda!$C$9,0))+MIN(Legenda!$C$11,MAX(0,J51-1)*Legenda!$C$10))),MIN(10,IF(E51="Sim",Legenda!$C$4,IF(E51="Parcial",Legenda!$C$5,0))+IF(F51="Sim",Legenda!$C$6,IF(F51="Parcial",Legenda!$C$7,0))+IF(G51="otool + Ghidra",Legenda!$C$8,IF(OR(G51="otool",G51="Ghidra",G51="Outro binário"),Legenda!$C$9,0))+MIN(Legenda!$C$11,MAX(0,J51-1)*Legenda!$C$10)))),1)</f>
        <v/>
      </c>
      <c r="M51" s="67" t="inlineStr">
        <is>
          <t>Q-UC-surface.md §3; A3-midi/README §Q-MIDI-WIRE</t>
        </is>
      </c>
      <c r="N51" s="67" t="inlineStr">
        <is>
          <t>C3:172; C5:67,79</t>
        </is>
      </c>
      <c r="O51" s="67" t="inlineStr">
        <is>
          <t>Nomes das constantes 0x1000/0x10000 não conferidos em IOTypes.h.</t>
        </is>
      </c>
      <c r="P51" s="69">
        <f>LEFT(A51,FIND(".",A51&amp;".")-1)</f>
        <v/>
      </c>
    </row>
    <row r="52" ht="32.8" customHeight="1" s="21">
      <c r="A52" s="65" t="inlineStr">
        <is>
          <t>A1-Q-UC.5</t>
        </is>
      </c>
      <c r="B52" s="66" t="inlineStr">
        <is>
          <t>A1</t>
        </is>
      </c>
      <c r="C52" s="67" t="inlineStr">
        <is>
          <t>Notificações Mach</t>
        </is>
      </c>
      <c r="D52" s="67" t="inlineStr">
        <is>
          <t>Porta tipo 0: template de 44 bytes, corpo 0 = dict de propriedades serializado (+ códigos de mensagem IOKit). Porta tipo 1 = MIDI-in (≤320 bytes). Outros tipos rejeitados.</t>
        </is>
      </c>
      <c r="E52" s="66" t="inlineStr">
        <is>
          <t>Sim</t>
        </is>
      </c>
      <c r="F52" s="66" t="inlineStr">
        <is>
          <t>Não</t>
        </is>
      </c>
      <c r="G52" s="66" t="inlineStr">
        <is>
          <t>otool + Ghidra</t>
        </is>
      </c>
      <c r="H52" s="66" t="inlineStr">
        <is>
          <t>Não</t>
        </is>
      </c>
      <c r="I52" s="67" t="inlineStr">
        <is>
          <t>asm 0x15f3a, 0x1602a, 0x74ab, 0x757f; Ghidra; A2-P2 (painel só trata corpo 0)</t>
        </is>
      </c>
      <c r="J52" s="66">
        <f>IF(TRIM(I52)="",0,LEN(I52)-LEN(SUBSTITUTE(I52,";",""))+1)</f>
        <v/>
      </c>
      <c r="K52" s="67" t="inlineStr">
        <is>
          <t>Corrigido 2026-10-14</t>
        </is>
      </c>
      <c r="L52" s="68">
        <f>ROUND(IF(H52="Sim",MIN(Legenda!$C$12,MIN(10,IF(E52="Sim",Legenda!$C$4,IF(E52="Parcial",Legenda!$C$5,0))+IF(F52="Sim",Legenda!$C$6,IF(F52="Parcial",Legenda!$C$7,0))+IF(G52="otool + Ghidra",Legenda!$C$8,IF(OR(G52="otool",G52="Ghidra",G52="Outro binário"),Legenda!$C$9,0))+MIN(Legenda!$C$11,MAX(0,J52-1)*Legenda!$C$10))),IF(H52="Parcial",MIN(Legenda!$C$13,MIN(10,IF(E52="Sim",Legenda!$C$4,IF(E52="Parcial",Legenda!$C$5,0))+IF(F52="Sim",Legenda!$C$6,IF(F52="Parcial",Legenda!$C$7,0))+IF(G52="otool + Ghidra",Legenda!$C$8,IF(OR(G52="otool",G52="Ghidra",G52="Outro binário"),Legenda!$C$9,0))+MIN(Legenda!$C$11,MAX(0,J52-1)*Legenda!$C$10))),MIN(10,IF(E52="Sim",Legenda!$C$4,IF(E52="Parcial",Legenda!$C$5,0))+IF(F52="Sim",Legenda!$C$6,IF(F52="Parcial",Legenda!$C$7,0))+IF(G52="otool + Ghidra",Legenda!$C$8,IF(OR(G52="otool",G52="Ghidra",G52="Outro binário"),Legenda!$C$9,0))+MIN(Legenda!$C$11,MAX(0,J52-1)*Legenda!$C$10)))),1)</f>
        <v/>
      </c>
      <c r="M52" s="67" t="inlineStr">
        <is>
          <t>Q-UC-surface.md §4; C3:26,131-142,154; C5:54,352</t>
        </is>
      </c>
      <c r="N52" s="67" t="inlineStr">
        <is>
          <t>C3:26,131-142; C5:54</t>
        </is>
      </c>
      <c r="O52" s="67" t="inlineStr">
        <is>
          <t>Offsets do lado do usuário não verificados; quem registra a porta tipo 1 é desconhecido. [2026-10-14] Bloco Correction inserido nos .md; evidência em docs/system-map/PROVENANCE-RESOLUTIONS.md.</t>
        </is>
      </c>
      <c r="P52" s="69">
        <f>LEFT(A52,FIND(".",A52&amp;".")-1)</f>
        <v/>
      </c>
    </row>
    <row r="53" ht="22.35" customHeight="1" s="21">
      <c r="A53" s="65" t="inlineStr">
        <is>
          <t>A1-Q12.1</t>
        </is>
      </c>
      <c r="B53" s="66" t="inlineStr">
        <is>
          <t>A1</t>
        </is>
      </c>
      <c r="C53" s="67" t="inlineStr">
        <is>
          <t>Passthrough AC3</t>
        </is>
      </c>
      <c r="D53" s="67" t="inlineStr">
        <is>
          <t>ActivateAC3Output via AV/C vendor+selector; ClipAC3Output escreve IEC 61937 16-bit direto no anel DCL; FW1814 herda SupportsAC3=0.</t>
        </is>
      </c>
      <c r="E53" s="66" t="inlineStr">
        <is>
          <t>Sim</t>
        </is>
      </c>
      <c r="F53" s="66" t="inlineStr">
        <is>
          <t>Não</t>
        </is>
      </c>
      <c r="G53" s="66" t="inlineStr">
        <is>
          <t>Ghidra</t>
        </is>
      </c>
      <c r="H53" s="66" t="inlineStr">
        <is>
          <t>Parcial</t>
        </is>
      </c>
      <c r="I53" s="67" t="inlineStr">
        <is>
          <t>Ghidra; A2-P10</t>
        </is>
      </c>
      <c r="J53" s="66">
        <f>IF(TRIM(I53)="",0,LEN(I53)-LEN(SUBSTITUTE(I53,";",""))+1)</f>
        <v/>
      </c>
      <c r="K53" s="67" t="inlineStr">
        <is>
          <t>Corrigido 2026-10-14</t>
        </is>
      </c>
      <c r="L53" s="68">
        <f>ROUND(IF(H53="Sim",MIN(Legenda!$C$12,MIN(10,IF(E53="Sim",Legenda!$C$4,IF(E53="Parcial",Legenda!$C$5,0))+IF(F53="Sim",Legenda!$C$6,IF(F53="Parcial",Legenda!$C$7,0))+IF(G53="otool + Ghidra",Legenda!$C$8,IF(OR(G53="otool",G53="Ghidra",G53="Outro binário"),Legenda!$C$9,0))+MIN(Legenda!$C$11,MAX(0,J53-1)*Legenda!$C$10))),IF(H53="Parcial",MIN(Legenda!$C$13,MIN(10,IF(E53="Sim",Legenda!$C$4,IF(E53="Parcial",Legenda!$C$5,0))+IF(F53="Sim",Legenda!$C$6,IF(F53="Parcial",Legenda!$C$7,0))+IF(G53="otool + Ghidra",Legenda!$C$8,IF(OR(G53="otool",G53="Ghidra",G53="Outro binário"),Legenda!$C$9,0))+MIN(Legenda!$C$11,MAX(0,J53-1)*Legenda!$C$10))),MIN(10,IF(E53="Sim",Legenda!$C$4,IF(E53="Parcial",Legenda!$C$5,0))+IF(F53="Sim",Legenda!$C$6,IF(F53="Parcial",Legenda!$C$7,0))+IF(G53="otool + Ghidra",Legenda!$C$8,IF(OR(G53="otool",G53="Ghidra",G53="Outro binário"),Legenda!$C$9,0))+MIN(Legenda!$C$11,MAX(0,J53-1)*Legenda!$C$10)))),1)</f>
        <v/>
      </c>
      <c r="M53" s="67" t="inlineStr">
        <is>
          <t>A1-ghidra/Q12-ac3-passthrough.md; P10; C4:29; Q15c:46,162</t>
        </is>
      </c>
      <c r="N53" s="67" t="inlineStr">
        <is>
          <t>C4:29; Q15c:46,162</t>
        </is>
      </c>
      <c r="O53" s="67" t="inlineStr">
        <is>
          <t>[+0xa5] = IOAudioEngine::configurationChangeInProgress (IOAudioFamily 10.13.6 beginConfigurationChange 0xa3d8); AC3 = [+0x2d4]. §R8.</t>
        </is>
      </c>
      <c r="P53" s="69">
        <f>LEFT(A53,FIND(".",A53&amp;".")-1)</f>
        <v/>
      </c>
    </row>
    <row r="54" ht="32.8" customHeight="1" s="21">
      <c r="A54" s="65" t="inlineStr">
        <is>
          <t>A1-Q13.1</t>
        </is>
      </c>
      <c r="B54" s="66" t="inlineStr">
        <is>
          <t>A1</t>
        </is>
      </c>
      <c r="C54" s="67" t="inlineStr">
        <is>
          <t>Família de engines</t>
        </is>
      </c>
      <c r="D54" s="67" t="inlineStr">
        <is>
          <t>FWEngine2 é subclasse direta de FWBaseEngine; Pair/Discrete/Aggregate/TimeSlave são sub-engines irmãos que encaminham via [+0x118] e máscara [+0x12c].</t>
        </is>
      </c>
      <c r="E54" s="66" t="inlineStr">
        <is>
          <t>Sim</t>
        </is>
      </c>
      <c r="F54" s="66" t="inlineStr">
        <is>
          <t>Parcial</t>
        </is>
      </c>
      <c r="G54" s="66" t="inlineStr">
        <is>
          <t>otool</t>
        </is>
      </c>
      <c r="H54" s="66" t="inlineStr">
        <is>
          <t>Parcial</t>
        </is>
      </c>
      <c r="I54" s="67" t="inlineStr">
        <is>
          <t>Ghidra; asm ctor 0x12762; ioreg B5 (classes FWEngine1/FWEngine2, v1.9)</t>
        </is>
      </c>
      <c r="J54" s="66">
        <f>IF(TRIM(I54)="",0,LEN(I54)-LEN(SUBSTITUTE(I54,";",""))+1)</f>
        <v/>
      </c>
      <c r="K54" s="67" t="inlineStr">
        <is>
          <t>Corrigido 2026-10-14</t>
        </is>
      </c>
      <c r="L54" s="68">
        <f>ROUND(IF(H54="Sim",MIN(Legenda!$C$12,MIN(10,IF(E54="Sim",Legenda!$C$4,IF(E54="Parcial",Legenda!$C$5,0))+IF(F54="Sim",Legenda!$C$6,IF(F54="Parcial",Legenda!$C$7,0))+IF(G54="otool + Ghidra",Legenda!$C$8,IF(OR(G54="otool",G54="Ghidra",G54="Outro binário"),Legenda!$C$9,0))+MIN(Legenda!$C$11,MAX(0,J54-1)*Legenda!$C$10))),IF(H54="Parcial",MIN(Legenda!$C$13,MIN(10,IF(E54="Sim",Legenda!$C$4,IF(E54="Parcial",Legenda!$C$5,0))+IF(F54="Sim",Legenda!$C$6,IF(F54="Parcial",Legenda!$C$7,0))+IF(G54="otool + Ghidra",Legenda!$C$8,IF(OR(G54="otool",G54="Ghidra",G54="Outro binário"),Legenda!$C$9,0))+MIN(Legenda!$C$11,MAX(0,J54-1)*Legenda!$C$10))),MIN(10,IF(E54="Sim",Legenda!$C$4,IF(E54="Parcial",Legenda!$C$5,0))+IF(F54="Sim",Legenda!$C$6,IF(F54="Parcial",Legenda!$C$7,0))+IF(G54="otool + Ghidra",Legenda!$C$8,IF(OR(G54="otool",G54="Ghidra",G54="Outro binário"),Legenda!$C$9,0))+MIN(Legenda!$C$11,MAX(0,J54-1)*Legenda!$C$10)))),1)</f>
        <v/>
      </c>
      <c r="M54" s="67" t="inlineStr">
        <is>
          <t>A1-ghidra/Q13-engine-family.md; B5 §3</t>
        </is>
      </c>
      <c r="N54" s="67" t="inlineStr">
        <is>
          <t>—</t>
        </is>
      </c>
      <c r="O54" s="67" t="inlineStr">
        <is>
          <t>Quantos FWEngine1 no modo pares estéreo: não verificado (BUILD-MANUAL M-J). | SL: com MAEnableStereoPairEngines=0 so existe FWEngine2. Quantos FWEngine1 com a opcao ligada: NAO verificado. R17</t>
        </is>
      </c>
      <c r="P54" s="69">
        <f>LEFT(A54,FIND(".",A54&amp;".")-1)</f>
        <v/>
      </c>
    </row>
    <row r="55" ht="22.35" customHeight="1" s="21">
      <c r="A55" s="65" t="inlineStr">
        <is>
          <t>A1-Q15.1</t>
        </is>
      </c>
      <c r="B55" s="66" t="inlineStr">
        <is>
          <t>A1</t>
        </is>
      </c>
      <c r="C55" s="67" t="inlineStr">
        <is>
          <t>Modelo de mixer tipado</t>
        </is>
      </c>
      <c r="D55" s="67" t="inlineStr">
        <is>
          <t>FWPropertyDict + ChannelGroupProperty (grupos Levels/AuxSend); aplicação em lote no workloop (checkForWork → ApplyModifiedProperties).</t>
        </is>
      </c>
      <c r="E55" s="66" t="inlineStr">
        <is>
          <t>Parcial</t>
        </is>
      </c>
      <c r="F55" s="66" t="inlineStr">
        <is>
          <t>Não</t>
        </is>
      </c>
      <c r="G55" s="66" t="inlineStr">
        <is>
          <t>otool + Ghidra</t>
        </is>
      </c>
      <c r="H55" s="66" t="inlineStr">
        <is>
          <t>Não</t>
        </is>
      </c>
      <c r="I55" s="67" t="inlineStr">
        <is>
          <t>Ghidra; asm</t>
        </is>
      </c>
      <c r="J55" s="66">
        <f>IF(TRIM(I55)="",0,LEN(I55)-LEN(SUBSTITUTE(I55,";",""))+1)</f>
        <v/>
      </c>
      <c r="K55" s="67" t="inlineStr">
        <is>
          <t>Corrigido 2026-10-14</t>
        </is>
      </c>
      <c r="L55" s="68">
        <f>ROUND(IF(H55="Sim",MIN(Legenda!$C$12,MIN(10,IF(E55="Sim",Legenda!$C$4,IF(E55="Parcial",Legenda!$C$5,0))+IF(F55="Sim",Legenda!$C$6,IF(F55="Parcial",Legenda!$C$7,0))+IF(G55="otool + Ghidra",Legenda!$C$8,IF(OR(G55="otool",G55="Ghidra",G55="Outro binário"),Legenda!$C$9,0))+MIN(Legenda!$C$11,MAX(0,J55-1)*Legenda!$C$10))),IF(H55="Parcial",MIN(Legenda!$C$13,MIN(10,IF(E55="Sim",Legenda!$C$4,IF(E55="Parcial",Legenda!$C$5,0))+IF(F55="Sim",Legenda!$C$6,IF(F55="Parcial",Legenda!$C$7,0))+IF(G55="otool + Ghidra",Legenda!$C$8,IF(OR(G55="otool",G55="Ghidra",G55="Outro binário"),Legenda!$C$9,0))+MIN(Legenda!$C$11,MAX(0,J55-1)*Legenda!$C$10))),MIN(10,IF(E55="Sim",Legenda!$C$4,IF(E55="Parcial",Legenda!$C$5,0))+IF(F55="Sim",Legenda!$C$6,IF(F55="Parcial",Legenda!$C$7,0))+IF(G55="otool + Ghidra",Legenda!$C$8,IF(OR(G55="otool",G55="Ghidra",G55="Outro binário"),Legenda!$C$9,0))+MIN(Legenda!$C$11,MAX(0,J55-1)*Legenda!$C$10)))),1)</f>
        <v/>
      </c>
      <c r="M55" s="67" t="inlineStr">
        <is>
          <t>A1-ghidra/Q15-mixer-model.md; Q15b</t>
        </is>
      </c>
      <c r="N55" s="67" t="inlineStr">
        <is>
          <t>—</t>
        </is>
      </c>
      <c r="O55" s="67" t="inlineStr">
        <is>
          <t>'Opcode 0xBA9' corrigido para ponteiro virtual (A1-Q15f.1).</t>
        </is>
      </c>
      <c r="P55" s="69">
        <f>LEFT(A55,FIND(".",A55&amp;".")-1)</f>
        <v/>
      </c>
    </row>
    <row r="56" ht="22.35" customHeight="1" s="21">
      <c r="A56" s="65" t="inlineStr">
        <is>
          <t>A1-Q15b.1</t>
        </is>
      </c>
      <c r="B56" s="66" t="inlineStr">
        <is>
          <t>A1</t>
        </is>
      </c>
      <c r="C56" s="67" t="inlineStr">
        <is>
          <t>Despachante de setProperties</t>
        </is>
      </c>
      <c r="D56" s="67" t="inlineStr">
        <is>
          <t>FWPropertyDict::SetProperties @0xa0e0 é o único despachante; FWAVCAudioDevice::setProperties faz atalho para MASampleRate.</t>
        </is>
      </c>
      <c r="E56" s="66" t="inlineStr">
        <is>
          <t>Parcial</t>
        </is>
      </c>
      <c r="F56" s="66" t="inlineStr">
        <is>
          <t>Sim</t>
        </is>
      </c>
      <c r="G56" s="66" t="inlineStr">
        <is>
          <t>Ghidra</t>
        </is>
      </c>
      <c r="H56" s="66" t="inlineStr">
        <is>
          <t>Não</t>
        </is>
      </c>
      <c r="I56" s="67" t="inlineStr">
        <is>
          <t>Ghidra; captura B5 §10 (setProperties do painel, v1.9)</t>
        </is>
      </c>
      <c r="J56" s="66">
        <f>IF(TRIM(I56)="",0,LEN(I56)-LEN(SUBSTITUTE(I56,";",""))+1)</f>
        <v/>
      </c>
      <c r="K56" s="67" t="inlineStr">
        <is>
          <t>Consistente</t>
        </is>
      </c>
      <c r="L56" s="68">
        <f>ROUND(IF(H56="Sim",MIN(Legenda!$C$12,MIN(10,IF(E56="Sim",Legenda!$C$4,IF(E56="Parcial",Legenda!$C$5,0))+IF(F56="Sim",Legenda!$C$6,IF(F56="Parcial",Legenda!$C$7,0))+IF(G56="otool + Ghidra",Legenda!$C$8,IF(OR(G56="otool",G56="Ghidra",G56="Outro binário"),Legenda!$C$9,0))+MIN(Legenda!$C$11,MAX(0,J56-1)*Legenda!$C$10))),IF(H56="Parcial",MIN(Legenda!$C$13,MIN(10,IF(E56="Sim",Legenda!$C$4,IF(E56="Parcial",Legenda!$C$5,0))+IF(F56="Sim",Legenda!$C$6,IF(F56="Parcial",Legenda!$C$7,0))+IF(G56="otool + Ghidra",Legenda!$C$8,IF(OR(G56="otool",G56="Ghidra",G56="Outro binário"),Legenda!$C$9,0))+MIN(Legenda!$C$11,MAX(0,J56-1)*Legenda!$C$10))),MIN(10,IF(E56="Sim",Legenda!$C$4,IF(E56="Parcial",Legenda!$C$5,0))+IF(F56="Sim",Legenda!$C$6,IF(F56="Parcial",Legenda!$C$7,0))+IF(G56="otool + Ghidra",Legenda!$C$8,IF(OR(G56="otool",G56="Ghidra",G56="Outro binário"),Legenda!$C$9,0))+MIN(Legenda!$C$11,MAX(0,J56-1)*Legenda!$C$10)))),1)</f>
        <v/>
      </c>
      <c r="M56" s="67" t="inlineStr">
        <is>
          <t>A1-ghidra/Q15b-setproperties-dispatch.md; B5 §10</t>
        </is>
      </c>
      <c r="N56" s="67" t="inlineStr">
        <is>
          <t>—</t>
        </is>
      </c>
      <c r="O56" s="67" t="inlineStr">
        <is>
          <t>—</t>
        </is>
      </c>
      <c r="P56" s="69">
        <f>LEFT(A56,FIND(".",A56&amp;".")-1)</f>
        <v/>
      </c>
    </row>
    <row r="57" ht="32.8" customHeight="1" s="21">
      <c r="A57" s="65" t="inlineStr">
        <is>
          <t>A1-Q15f.1</t>
        </is>
      </c>
      <c r="B57" s="66" t="inlineStr">
        <is>
          <t>A1</t>
        </is>
      </c>
      <c r="C57" s="67" t="inlineStr">
        <is>
          <t>Caminho único de escrita do mixer</t>
        </is>
      </c>
      <c r="D57" s="67" t="inlineStr">
        <is>
          <t>0xBA9 = ponteiro virtual para vt[0xba8] = CustomMixerWriteQuads: escrita assíncrona em bloco em 0xFFC7:0x00700000+offset (2 canais de 16 bits por quadlet).</t>
        </is>
      </c>
      <c r="E57" s="66" t="inlineStr">
        <is>
          <t>Sim</t>
        </is>
      </c>
      <c r="F57" s="66" t="inlineStr">
        <is>
          <t>Não</t>
        </is>
      </c>
      <c r="G57" s="66" t="inlineStr">
        <is>
          <t>otool + Ghidra</t>
        </is>
      </c>
      <c r="H57" s="66" t="inlineStr">
        <is>
          <t>Não</t>
        </is>
      </c>
      <c r="I57" s="67" t="inlineStr">
        <is>
          <t>asm 0xe184..0xe1d9, 0x22c7a, 0x1efc0; vtable; FFADO special_avdevice.h:47-69; macfw; Rust special.rs</t>
        </is>
      </c>
      <c r="J57" s="66">
        <f>IF(TRIM(I57)="",0,LEN(I57)-LEN(SUBSTITUTE(I57,";",""))+1)</f>
        <v/>
      </c>
      <c r="K57" s="67" t="inlineStr">
        <is>
          <t>Corrigido 2026-10-14</t>
        </is>
      </c>
      <c r="L57" s="68">
        <f>ROUND(IF(H57="Sim",MIN(Legenda!$C$12,MIN(10,IF(E57="Sim",Legenda!$C$4,IF(E57="Parcial",Legenda!$C$5,0))+IF(F57="Sim",Legenda!$C$6,IF(F57="Parcial",Legenda!$C$7,0))+IF(G57="otool + Ghidra",Legenda!$C$8,IF(OR(G57="otool",G57="Ghidra",G57="Outro binário"),Legenda!$C$9,0))+MIN(Legenda!$C$11,MAX(0,J57-1)*Legenda!$C$10))),IF(H57="Parcial",MIN(Legenda!$C$13,MIN(10,IF(E57="Sim",Legenda!$C$4,IF(E57="Parcial",Legenda!$C$5,0))+IF(F57="Sim",Legenda!$C$6,IF(F57="Parcial",Legenda!$C$7,0))+IF(G57="otool + Ghidra",Legenda!$C$8,IF(OR(G57="otool",G57="Ghidra",G57="Outro binário"),Legenda!$C$9,0))+MIN(Legenda!$C$11,MAX(0,J57-1)*Legenda!$C$10))),MIN(10,IF(E57="Sim",Legenda!$C$4,IF(E57="Parcial",Legenda!$C$5,0))+IF(F57="Sim",Legenda!$C$6,IF(F57="Parcial",Legenda!$C$7,0))+IF(G57="otool + Ghidra",Legenda!$C$8,IF(OR(G57="otool",G57="Ghidra",G57="Outro binário"),Legenda!$C$9,0))+MIN(Legenda!$C$11,MAX(0,J57-1)*Legenda!$C$10)))),1)</f>
        <v/>
      </c>
      <c r="M57" s="67" t="inlineStr">
        <is>
          <t>A1-ghidra/Q15f-mixer-control-plane-wire.md (Correction); B1; B4; B2a</t>
        </is>
      </c>
      <c r="N57" s="67" t="inlineStr">
        <is>
          <t>B5:593</t>
        </is>
      </c>
      <c r="O57" s="67" t="inlineStr">
        <is>
          <t>Confirmar no hardware: DTrace de escritas assíncronas durante movimento de fader no SL.</t>
        </is>
      </c>
      <c r="P57" s="69">
        <f>LEFT(A57,FIND(".",A57&amp;".")-1)</f>
        <v/>
      </c>
    </row>
    <row r="58" ht="22.35" customHeight="1" s="21">
      <c r="A58" s="65" t="inlineStr">
        <is>
          <t>A1-Q15f.2</t>
        </is>
      </c>
      <c r="B58" s="66" t="inlineStr">
        <is>
          <t>A1</t>
        </is>
      </c>
      <c r="C58" s="67" t="inlineStr">
        <is>
          <t>Offsets dos grupos do mixer</t>
        </is>
      </c>
      <c r="D58" s="67" t="inlineStr">
        <is>
          <t>0x00 GAIN_STM_12_IN, 0x08 GAIN_ANA_12_OUT, 0x10 GAIN_ANA_12_IN, 0x34 GAIN_AUX_12_OUT, 0x38 GAIN_HP_12_OUT.</t>
        </is>
      </c>
      <c r="E58" s="66" t="inlineStr">
        <is>
          <t>Sim</t>
        </is>
      </c>
      <c r="F58" s="66" t="inlineStr">
        <is>
          <t>Não</t>
        </is>
      </c>
      <c r="G58" s="66" t="inlineStr">
        <is>
          <t>otool + Ghidra</t>
        </is>
      </c>
      <c r="H58" s="66" t="inlineStr">
        <is>
          <t>Não</t>
        </is>
      </c>
      <c r="I58" s="67" t="inlineStr">
        <is>
          <t>Ghidra InitializeUserSettableProperties @0xe6ca; asm 0xe819; FFADO special_avdevice.h:55-69</t>
        </is>
      </c>
      <c r="J58" s="66">
        <f>IF(TRIM(I58)="",0,LEN(I58)-LEN(SUBSTITUTE(I58,";",""))+1)</f>
        <v/>
      </c>
      <c r="K58" s="67" t="inlineStr">
        <is>
          <t>Corrigido 2026-10-14</t>
        </is>
      </c>
      <c r="L58" s="68">
        <f>ROUND(IF(H58="Sim",MIN(Legenda!$C$12,MIN(10,IF(E58="Sim",Legenda!$C$4,IF(E58="Parcial",Legenda!$C$5,0))+IF(F58="Sim",Legenda!$C$6,IF(F58="Parcial",Legenda!$C$7,0))+IF(G58="otool + Ghidra",Legenda!$C$8,IF(OR(G58="otool",G58="Ghidra",G58="Outro binário"),Legenda!$C$9,0))+MIN(Legenda!$C$11,MAX(0,J58-1)*Legenda!$C$10))),IF(H58="Parcial",MIN(Legenda!$C$13,MIN(10,IF(E58="Sim",Legenda!$C$4,IF(E58="Parcial",Legenda!$C$5,0))+IF(F58="Sim",Legenda!$C$6,IF(F58="Parcial",Legenda!$C$7,0))+IF(G58="otool + Ghidra",Legenda!$C$8,IF(OR(G58="otool",G58="Ghidra",G58="Outro binário"),Legenda!$C$9,0))+MIN(Legenda!$C$11,MAX(0,J58-1)*Legenda!$C$10))),MIN(10,IF(E58="Sim",Legenda!$C$4,IF(E58="Parcial",Legenda!$C$5,0))+IF(F58="Sim",Legenda!$C$6,IF(F58="Parcial",Legenda!$C$7,0))+IF(G58="otool + Ghidra",Legenda!$C$8,IF(OR(G58="otool",G58="Ghidra",G58="Outro binário"),Legenda!$C$9,0))+MIN(Legenda!$C$11,MAX(0,J58-1)*Legenda!$C$10)))),1)</f>
        <v/>
      </c>
      <c r="M58" s="67" t="inlineStr">
        <is>
          <t>Q15f Correction (tabela de grupos)</t>
        </is>
      </c>
      <c r="N58" s="67" t="inlineStr">
        <is>
          <t>—</t>
        </is>
      </c>
      <c r="O58" s="67" t="inlineStr">
        <is>
          <t>Demais registros (0x04, 0x0c, 0x14–0x30, 0x3c, LR 0x40+) e quem os escreve: não mapeados.</t>
        </is>
      </c>
      <c r="P58" s="69">
        <f>LEFT(A58,FIND(".",A58&amp;".")-1)</f>
        <v/>
      </c>
    </row>
    <row r="59" ht="22.35" customHeight="1" s="21">
      <c r="A59" s="65" t="inlineStr">
        <is>
          <t>A1-Q15f.3</t>
        </is>
      </c>
      <c r="B59" s="66" t="inlineStr">
        <is>
          <t>A1</t>
        </is>
      </c>
      <c r="C59" s="67" t="inlineStr">
        <is>
          <t>Aux rotacionado</t>
        </is>
      </c>
      <c r="D59" s="67" t="inlineStr">
        <is>
          <t>CustomMixerWriteWithRotatedAuxChannels monta {q9, q10, q0..q8} (44 bytes) e chama CustomMixerWriteQuads no offset 0x34.</t>
        </is>
      </c>
      <c r="E59" s="66" t="inlineStr">
        <is>
          <t>Sim</t>
        </is>
      </c>
      <c r="F59" s="66" t="inlineStr">
        <is>
          <t>Não</t>
        </is>
      </c>
      <c r="G59" s="66" t="inlineStr">
        <is>
          <t>otool</t>
        </is>
      </c>
      <c r="H59" s="66" t="inlineStr">
        <is>
          <t>Parcial</t>
        </is>
      </c>
      <c r="I59" s="67" t="inlineStr">
        <is>
          <t>asm 0xe982 (rotacao 44 B); FFADO special_mixer.cpp:224-236 (ordem dos registradores aux); Q15f</t>
        </is>
      </c>
      <c r="J59" s="66">
        <f>IF(TRIM(I59)="",0,LEN(I59)-LEN(SUBSTITUTE(I59,";",""))+1)</f>
        <v/>
      </c>
      <c r="K59" s="67" t="inlineStr">
        <is>
          <t>Corrigido 2026-10-14</t>
        </is>
      </c>
      <c r="L59" s="68">
        <f>ROUND(IF(H59="Sim",MIN(Legenda!$C$12,MIN(10,IF(E59="Sim",Legenda!$C$4,IF(E59="Parcial",Legenda!$C$5,0))+IF(F59="Sim",Legenda!$C$6,IF(F59="Parcial",Legenda!$C$7,0))+IF(G59="otool + Ghidra",Legenda!$C$8,IF(OR(G59="otool",G59="Ghidra",G59="Outro binário"),Legenda!$C$9,0))+MIN(Legenda!$C$11,MAX(0,J59-1)*Legenda!$C$10))),IF(H59="Parcial",MIN(Legenda!$C$13,MIN(10,IF(E59="Sim",Legenda!$C$4,IF(E59="Parcial",Legenda!$C$5,0))+IF(F59="Sim",Legenda!$C$6,IF(F59="Parcial",Legenda!$C$7,0))+IF(G59="otool + Ghidra",Legenda!$C$8,IF(OR(G59="otool",G59="Ghidra",G59="Outro binário"),Legenda!$C$9,0))+MIN(Legenda!$C$11,MAX(0,J59-1)*Legenda!$C$10))),MIN(10,IF(E59="Sim",Legenda!$C$4,IF(E59="Parcial",Legenda!$C$5,0))+IF(F59="Sim",Legenda!$C$6,IF(F59="Parcial",Legenda!$C$7,0))+IF(G59="otool + Ghidra",Legenda!$C$8,IF(OR(G59="otool",G59="Ghidra",G59="Outro binário"),Legenda!$C$9,0))+MIN(Legenda!$C$11,MAX(0,J59-1)*Legenda!$C$10)))),1)</f>
        <v/>
      </c>
      <c r="M59" s="67" t="inlineStr">
        <is>
          <t>Q15f Correction (Rotated aux)</t>
        </is>
      </c>
      <c r="N59" s="67" t="inlineStr">
        <is>
          <t>—</t>
        </is>
      </c>
      <c r="O59" s="67" t="inlineStr">
        <is>
          <t>Contagem n do grupo aux e motivo da rotação não verificados. | n=11 quadlets; rotacao poe as 2 entradas de stream na frente = ordem de registrador do dispositivo (FFADO). Identidade stream/hardware de in[9..10] e INFERIDA. R14</t>
        </is>
      </c>
      <c r="P59" s="69">
        <f>LEFT(A59,FIND(".",A59&amp;".")-1)</f>
        <v/>
      </c>
    </row>
    <row r="60" ht="22.35" customHeight="1" s="21">
      <c r="A60" s="65" t="inlineStr">
        <is>
          <t>A1-Q15f.4</t>
        </is>
      </c>
      <c r="B60" s="66" t="inlineStr">
        <is>
          <t>A1</t>
        </is>
      </c>
      <c r="C60" s="67" t="inlineStr">
        <is>
          <t>0xBE9 = LEDs do switch A/B</t>
        </is>
      </c>
      <c r="D60" s="67" t="inlineStr">
        <is>
          <t>vt[0xbe8] = FW1814Device::AVCControlSetLEDStatus(uint) @0xdaaa.</t>
        </is>
      </c>
      <c r="E60" s="66" t="inlineStr">
        <is>
          <t>Sim</t>
        </is>
      </c>
      <c r="F60" s="66" t="inlineStr">
        <is>
          <t>Não</t>
        </is>
      </c>
      <c r="G60" s="66" t="inlineStr">
        <is>
          <t>otool</t>
        </is>
      </c>
      <c r="H60" s="66" t="inlineStr">
        <is>
          <t>Não</t>
        </is>
      </c>
      <c r="I60" s="67" t="inlineStr">
        <is>
          <t>bytes de vtable</t>
        </is>
      </c>
      <c r="J60" s="66">
        <f>IF(TRIM(I60)="",0,LEN(I60)-LEN(SUBSTITUTE(I60,";",""))+1)</f>
        <v/>
      </c>
      <c r="K60" s="67" t="inlineStr">
        <is>
          <t>Corrigido 2026-10-14</t>
        </is>
      </c>
      <c r="L60" s="68">
        <f>ROUND(IF(H60="Sim",MIN(Legenda!$C$12,MIN(10,IF(E60="Sim",Legenda!$C$4,IF(E60="Parcial",Legenda!$C$5,0))+IF(F60="Sim",Legenda!$C$6,IF(F60="Parcial",Legenda!$C$7,0))+IF(G60="otool + Ghidra",Legenda!$C$8,IF(OR(G60="otool",G60="Ghidra",G60="Outro binário"),Legenda!$C$9,0))+MIN(Legenda!$C$11,MAX(0,J60-1)*Legenda!$C$10))),IF(H60="Parcial",MIN(Legenda!$C$13,MIN(10,IF(E60="Sim",Legenda!$C$4,IF(E60="Parcial",Legenda!$C$5,0))+IF(F60="Sim",Legenda!$C$6,IF(F60="Parcial",Legenda!$C$7,0))+IF(G60="otool + Ghidra",Legenda!$C$8,IF(OR(G60="otool",G60="Ghidra",G60="Outro binário"),Legenda!$C$9,0))+MIN(Legenda!$C$11,MAX(0,J60-1)*Legenda!$C$10))),MIN(10,IF(E60="Sim",Legenda!$C$4,IF(E60="Parcial",Legenda!$C$5,0))+IF(F60="Sim",Legenda!$C$6,IF(F60="Parcial",Legenda!$C$7,0))+IF(G60="otool + Ghidra",Legenda!$C$8,IF(OR(G60="otool",G60="Ghidra",G60="Outro binário"),Legenda!$C$9,0))+MIN(Legenda!$C$11,MAX(0,J60-1)*Legenda!$C$10)))),1)</f>
        <v/>
      </c>
      <c r="M60" s="67" t="inlineStr">
        <is>
          <t>Q15f Correction</t>
        </is>
      </c>
      <c r="N60" s="67" t="inlineStr">
        <is>
          <t>—</t>
        </is>
      </c>
      <c r="O60" s="67" t="inlineStr">
        <is>
          <t>Bytes AV/C enviados por AVCControlSetLEDStatus não decodificados.</t>
        </is>
      </c>
      <c r="P60" s="69">
        <f>LEFT(A60,FIND(".",A60&amp;".")-1)</f>
        <v/>
      </c>
    </row>
    <row r="61" ht="22.35" customHeight="1" s="21">
      <c r="A61" s="65" t="inlineStr">
        <is>
          <t>A1-Q16.1</t>
        </is>
      </c>
      <c r="B61" s="66" t="inlineStr">
        <is>
          <t>A1</t>
        </is>
      </c>
      <c r="C61" s="67" t="inlineStr">
        <is>
          <t>Linhagem Rev1 do FW1814</t>
        </is>
      </c>
      <c r="D61" s="67" t="inlineStr">
        <is>
          <t>com_m_audio_FW1814Device → FWRev1AudioDevice (0xf473); ProjectMix → FW1814Device; os demais produtos → FWRev2AudioDevice.</t>
        </is>
      </c>
      <c r="E61" s="66" t="inlineStr">
        <is>
          <t>Sim</t>
        </is>
      </c>
      <c r="F61" s="66" t="inlineStr">
        <is>
          <t>Não</t>
        </is>
      </c>
      <c r="G61" s="66" t="inlineStr">
        <is>
          <t>otool</t>
        </is>
      </c>
      <c r="H61" s="66" t="inlineStr">
        <is>
          <t>Não</t>
        </is>
      </c>
      <c r="I61" s="67" t="inlineStr">
        <is>
          <t>ctores de metaclass; ctor 0xf04a→0xf060; vtable slot 0xb50</t>
        </is>
      </c>
      <c r="J61" s="66">
        <f>IF(TRIM(I61)="",0,LEN(I61)-LEN(SUBSTITUTE(I61,";",""))+1)</f>
        <v/>
      </c>
      <c r="K61" s="67" t="inlineStr">
        <is>
          <t>Corrigido 2026-10-14</t>
        </is>
      </c>
      <c r="L61" s="68">
        <f>ROUND(IF(H61="Sim",MIN(Legenda!$C$12,MIN(10,IF(E61="Sim",Legenda!$C$4,IF(E61="Parcial",Legenda!$C$5,0))+IF(F61="Sim",Legenda!$C$6,IF(F61="Parcial",Legenda!$C$7,0))+IF(G61="otool + Ghidra",Legenda!$C$8,IF(OR(G61="otool",G61="Ghidra",G61="Outro binário"),Legenda!$C$9,0))+MIN(Legenda!$C$11,MAX(0,J61-1)*Legenda!$C$10))),IF(H61="Parcial",MIN(Legenda!$C$13,MIN(10,IF(E61="Sim",Legenda!$C$4,IF(E61="Parcial",Legenda!$C$5,0))+IF(F61="Sim",Legenda!$C$6,IF(F61="Parcial",Legenda!$C$7,0))+IF(G61="otool + Ghidra",Legenda!$C$8,IF(OR(G61="otool",G61="Ghidra",G61="Outro binário"),Legenda!$C$9,0))+MIN(Legenda!$C$11,MAX(0,J61-1)*Legenda!$C$10))),MIN(10,IF(E61="Sim",Legenda!$C$4,IF(E61="Parcial",Legenda!$C$5,0))+IF(F61="Sim",Legenda!$C$6,IF(F61="Parcial",Legenda!$C$7,0))+IF(G61="otool + Ghidra",Legenda!$C$8,IF(OR(G61="otool",G61="Ghidra",G61="Outro binário"),Legenda!$C$9,0))+MIN(Legenda!$C$11,MAX(0,J61-1)*Legenda!$C$10)))),1)</f>
        <v/>
      </c>
      <c r="M61" s="67" t="inlineStr">
        <is>
          <t>A1-ghidra/Q16-rev1-rev2-deltas.md (Correction); CLAUDE.md; A1-reference-kext.md:55</t>
        </is>
      </c>
      <c r="N61" s="67" t="inlineStr">
        <is>
          <t>A1-reference-kext:55</t>
        </is>
      </c>
      <c r="O61" s="67" t="inlineStr">
        <is>
          <t>A1-reference-kext.md ainda diz 'provavelmente Rev2'. [2026-10-14] Bloco Correction inserido nos .md; evidência em docs/system-map/PROVENANCE-RESOLUTIONS.md.</t>
        </is>
      </c>
      <c r="P61" s="69">
        <f>LEFT(A61,FIND(".",A61&amp;".")-1)</f>
        <v/>
      </c>
    </row>
    <row r="62" ht="22.35" customHeight="1" s="21">
      <c r="A62" s="65" t="inlineStr">
        <is>
          <t>A1-Q16.2</t>
        </is>
      </c>
      <c r="B62" s="66" t="inlineStr">
        <is>
          <t>A1</t>
        </is>
      </c>
      <c r="C62" s="67" t="inlineStr">
        <is>
          <t>Significado de Rev1/Rev2</t>
        </is>
      </c>
      <c r="D62" s="67" t="inlineStr">
        <is>
          <t>A interpretação 'geração de silício' (Rev1 sem HSCI) foi refutada; a diferença observada é a estratégia de formato AV/C (0x18/0x19 vs 0x2F).</t>
        </is>
      </c>
      <c r="E62" s="66" t="inlineStr">
        <is>
          <t>Parcial</t>
        </is>
      </c>
      <c r="F62" s="66" t="inlineStr">
        <is>
          <t>Não</t>
        </is>
      </c>
      <c r="G62" s="66" t="inlineStr">
        <is>
          <t>otool</t>
        </is>
      </c>
      <c r="H62" s="66" t="inlineStr">
        <is>
          <t>Parcial</t>
        </is>
      </c>
      <c r="I62" s="67" t="inlineStr">
        <is>
          <t>asm; Rust (FW1814 = DM1000)</t>
        </is>
      </c>
      <c r="J62" s="66">
        <f>IF(TRIM(I62)="",0,LEN(I62)-LEN(SUBSTITUTE(I62,";",""))+1)</f>
        <v/>
      </c>
      <c r="K62" s="67" t="inlineStr">
        <is>
          <t>Corrigido 2026-10-14</t>
        </is>
      </c>
      <c r="L62" s="68">
        <f>ROUND(IF(H62="Sim",MIN(Legenda!$C$12,MIN(10,IF(E62="Sim",Legenda!$C$4,IF(E62="Parcial",Legenda!$C$5,0))+IF(F62="Sim",Legenda!$C$6,IF(F62="Parcial",Legenda!$C$7,0))+IF(G62="otool + Ghidra",Legenda!$C$8,IF(OR(G62="otool",G62="Ghidra",G62="Outro binário"),Legenda!$C$9,0))+MIN(Legenda!$C$11,MAX(0,J62-1)*Legenda!$C$10))),IF(H62="Parcial",MIN(Legenda!$C$13,MIN(10,IF(E62="Sim",Legenda!$C$4,IF(E62="Parcial",Legenda!$C$5,0))+IF(F62="Sim",Legenda!$C$6,IF(F62="Parcial",Legenda!$C$7,0))+IF(G62="otool + Ghidra",Legenda!$C$8,IF(OR(G62="otool",G62="Ghidra",G62="Outro binário"),Legenda!$C$9,0))+MIN(Legenda!$C$11,MAX(0,J62-1)*Legenda!$C$10))),MIN(10,IF(E62="Sim",Legenda!$C$4,IF(E62="Parcial",Legenda!$C$5,0))+IF(F62="Sim",Legenda!$C$6,IF(F62="Parcial",Legenda!$C$7,0))+IF(G62="otool + Ghidra",Legenda!$C$8,IF(OR(G62="otool",G62="Ghidra",G62="Outro binário"),Legenda!$C$9,0))+MIN(Legenda!$C$11,MAX(0,J62-1)*Legenda!$C$10)))),1)</f>
        <v/>
      </c>
      <c r="M62" s="67" t="inlineStr">
        <is>
          <t>Q16 Correction; Q16:39,75</t>
        </is>
      </c>
      <c r="N62" s="67" t="inlineStr">
        <is>
          <t>Q16:39,75</t>
        </is>
      </c>
      <c r="O62" s="67" t="inlineStr">
        <is>
          <t>Dependência de [+0x2c8] não verificada; '0x1A = stream-input-connect' é SIGNAL SOURCE na spec AV/C.</t>
        </is>
      </c>
      <c r="P62" s="69">
        <f>LEFT(A62,FIND(".",A62&amp;".")-1)</f>
        <v/>
      </c>
    </row>
    <row r="63" ht="22.35" customHeight="1" s="21">
      <c r="A63" s="65" t="inlineStr">
        <is>
          <t>A1-Q17.1</t>
        </is>
      </c>
      <c r="B63" s="66" t="inlineStr">
        <is>
          <t>A1</t>
        </is>
      </c>
      <c r="C63" s="67" t="inlineStr">
        <is>
          <t>TPacketPool e silêncio AM824</t>
        </is>
      </c>
      <c r="D63" s="67" t="inlineStr">
        <is>
          <t>Struct de 56 bytes; inTaskWithPhysicalMask; preenchimento 0x000000CF (dados) e 0x00000080 (pad).</t>
        </is>
      </c>
      <c r="E63" s="66" t="inlineStr">
        <is>
          <t>Sim</t>
        </is>
      </c>
      <c r="F63" s="66" t="inlineStr">
        <is>
          <t>Não</t>
        </is>
      </c>
      <c r="G63" s="66" t="inlineStr">
        <is>
          <t>otool + Ghidra</t>
        </is>
      </c>
      <c r="H63" s="66" t="inlineStr">
        <is>
          <t>Não</t>
        </is>
      </c>
      <c r="I63" s="67" t="inlineStr">
        <is>
          <t>asm 0xa49e, 0xa6da, 0xa701; snd-bebob usa 0x40 (discorda)</t>
        </is>
      </c>
      <c r="J63" s="66">
        <f>IF(TRIM(I63)="",0,LEN(I63)-LEN(SUBSTITUTE(I63,";",""))+1)</f>
        <v/>
      </c>
      <c r="K63" s="67" t="inlineStr">
        <is>
          <t>Consistente</t>
        </is>
      </c>
      <c r="L63" s="68">
        <f>ROUND(IF(H63="Sim",MIN(Legenda!$C$12,MIN(10,IF(E63="Sim",Legenda!$C$4,IF(E63="Parcial",Legenda!$C$5,0))+IF(F63="Sim",Legenda!$C$6,IF(F63="Parcial",Legenda!$C$7,0))+IF(G63="otool + Ghidra",Legenda!$C$8,IF(OR(G63="otool",G63="Ghidra",G63="Outro binário"),Legenda!$C$9,0))+MIN(Legenda!$C$11,MAX(0,J63-1)*Legenda!$C$10))),IF(H63="Parcial",MIN(Legenda!$C$13,MIN(10,IF(E63="Sim",Legenda!$C$4,IF(E63="Parcial",Legenda!$C$5,0))+IF(F63="Sim",Legenda!$C$6,IF(F63="Parcial",Legenda!$C$7,0))+IF(G63="otool + Ghidra",Legenda!$C$8,IF(OR(G63="otool",G63="Ghidra",G63="Outro binário"),Legenda!$C$9,0))+MIN(Legenda!$C$11,MAX(0,J63-1)*Legenda!$C$10))),MIN(10,IF(E63="Sim",Legenda!$C$4,IF(E63="Parcial",Legenda!$C$5,0))+IF(F63="Sim",Legenda!$C$6,IF(F63="Parcial",Legenda!$C$7,0))+IF(G63="otool + Ghidra",Legenda!$C$8,IF(OR(G63="otool",G63="Ghidra",G63="Outro binário"),Legenda!$C$9,0))+MIN(Legenda!$C$11,MAX(0,J63-1)*Legenda!$C$10)))),1)</f>
        <v/>
      </c>
      <c r="M63" s="67" t="inlineStr">
        <is>
          <t>A1-ghidra/Q17-tpacketpool.md; C4</t>
        </is>
      </c>
      <c r="N63" s="67" t="inlineStr">
        <is>
          <t>—</t>
        </is>
      </c>
      <c r="O63" s="67" t="inlineStr">
        <is>
          <t>Verificado (OK #20).</t>
        </is>
      </c>
      <c r="P63" s="69">
        <f>LEFT(A63,FIND(".",A63&amp;".")-1)</f>
        <v/>
      </c>
    </row>
    <row r="64" ht="22.35" customHeight="1" s="21">
      <c r="A64" s="65" t="inlineStr">
        <is>
          <t>A1-Q17.2</t>
        </is>
      </c>
      <c r="B64" s="66" t="inlineStr">
        <is>
          <t>A1</t>
        </is>
      </c>
      <c r="C64" s="67" t="inlineStr">
        <is>
          <t>Hipótese do idle-lock em 0xCF</t>
        </is>
      </c>
      <c r="D64" s="67" t="inlineStr">
        <is>
          <t>'Firmware DM1000 ajustado à assinatura 0xCF' e 'bzero → cliques'.</t>
        </is>
      </c>
      <c r="E64" s="66" t="inlineStr">
        <is>
          <t>Sim</t>
        </is>
      </c>
      <c r="F64" s="66" t="inlineStr">
        <is>
          <t>Parcial</t>
        </is>
      </c>
      <c r="G64" s="66" t="inlineStr">
        <is>
          <t>otool</t>
        </is>
      </c>
      <c r="H64" s="66" t="inlineStr">
        <is>
          <t>Parcial</t>
        </is>
      </c>
      <c r="I64" s="67" t="inlineStr">
        <is>
          <t>memória project_fw1814_idle_lock_mechanism (experimentos com o clone antigo)</t>
        </is>
      </c>
      <c r="J64" s="66">
        <f>IF(TRIM(I64)="",0,LEN(I64)-LEN(SUBSTITUTE(I64,";",""))+1)</f>
        <v/>
      </c>
      <c r="K64" s="67" t="inlineStr">
        <is>
          <t>Aberto / não resolvido</t>
        </is>
      </c>
      <c r="L64" s="68">
        <f>ROUND(IF(H64="Sim",MIN(Legenda!$C$12,MIN(10,IF(E64="Sim",Legenda!$C$4,IF(E64="Parcial",Legenda!$C$5,0))+IF(F64="Sim",Legenda!$C$6,IF(F64="Parcial",Legenda!$C$7,0))+IF(G64="otool + Ghidra",Legenda!$C$8,IF(OR(G64="otool",G64="Ghidra",G64="Outro binário"),Legenda!$C$9,0))+MIN(Legenda!$C$11,MAX(0,J64-1)*Legenda!$C$10))),IF(H64="Parcial",MIN(Legenda!$C$13,MIN(10,IF(E64="Sim",Legenda!$C$4,IF(E64="Parcial",Legenda!$C$5,0))+IF(F64="Sim",Legenda!$C$6,IF(F64="Parcial",Legenda!$C$7,0))+IF(G64="otool + Ghidra",Legenda!$C$8,IF(OR(G64="otool",G64="Ghidra",G64="Outro binário"),Legenda!$C$9,0))+MIN(Legenda!$C$11,MAX(0,J64-1)*Legenda!$C$10))),MIN(10,IF(E64="Sim",Legenda!$C$4,IF(E64="Parcial",Legenda!$C$5,0))+IF(F64="Sim",Legenda!$C$6,IF(F64="Parcial",Legenda!$C$7,0))+IF(G64="otool + Ghidra",Legenda!$C$8,IF(OR(G64="otool",G64="Ghidra",G64="Outro binário"),Legenda!$C$9,0))+MIN(Legenda!$C$11,MAX(0,J64-1)*Legenda!$C$10)))),1)</f>
        <v/>
      </c>
      <c r="M64" s="67" t="inlineStr">
        <is>
          <t>Q17:114; C4:204,209,468; B2:88</t>
        </is>
      </c>
      <c r="N64" s="67" t="inlineStr">
        <is>
          <t>Q17:114; C4:204,468</t>
        </is>
      </c>
      <c r="O64" s="67" t="inlineStr">
        <is>
          <t>Testar no hardware: label 0x40 vs 0xCF. [2026-10-14] Bloco Correction inserido; resta verificação (ver Flags_auditoria / aba Painel). | ZeroElements e chamada a cada callback de TX (0x26874/0x268b8); conversores gravam rotulo 0x40/0x80; 0xCF so em slots nao reescritos. Reacao do firmware ao 0xCF segue NAO verificada (precisa analise do ARM ou captura isoch). Q17 + R10</t>
        </is>
      </c>
      <c r="P64" s="69">
        <f>LEFT(A64,FIND(".",A64&amp;".")-1)</f>
        <v/>
      </c>
    </row>
    <row r="65" ht="22.35" customHeight="1" s="21">
      <c r="A65" s="65" t="inlineStr">
        <is>
          <t>A1-Q-SDK.1</t>
        </is>
      </c>
      <c r="B65" s="66" t="inlineStr">
        <is>
          <t>A1</t>
        </is>
      </c>
      <c r="C65" s="67" t="inlineStr">
        <is>
          <t>Slots reservados no SDK 10.13</t>
        </is>
      </c>
      <c r="D65" s="67" t="inlineStr">
        <is>
          <t>Nenhuma deriva em IOAudio/IOFireWire; só IOService LP64 slots 0–1 (configureReport/updateReport) consumidos.</t>
        </is>
      </c>
      <c r="E65" s="66" t="inlineStr">
        <is>
          <t>Sim</t>
        </is>
      </c>
      <c r="F65" s="66" t="inlineStr">
        <is>
          <t>Não</t>
        </is>
      </c>
      <c r="G65" s="66" t="inlineStr">
        <is>
          <t>Outro binário</t>
        </is>
      </c>
      <c r="H65" s="66" t="inlineStr">
        <is>
          <t>Não</t>
        </is>
      </c>
      <c r="I65" s="67" t="inlineStr">
        <is>
          <t>nm -um (265 símbolos); headers MacOSX10.13.sdk no build PC</t>
        </is>
      </c>
      <c r="J65" s="66">
        <f>IF(TRIM(I65)="",0,LEN(I65)-LEN(SUBSTITUTE(I65,";",""))+1)</f>
        <v/>
      </c>
      <c r="K65" s="67" t="inlineStr">
        <is>
          <t>Corrigido 2026-10-14</t>
        </is>
      </c>
      <c r="L65" s="68">
        <f>ROUND(IF(H65="Sim",MIN(Legenda!$C$12,MIN(10,IF(E65="Sim",Legenda!$C$4,IF(E65="Parcial",Legenda!$C$5,0))+IF(F65="Sim",Legenda!$C$6,IF(F65="Parcial",Legenda!$C$7,0))+IF(G65="otool + Ghidra",Legenda!$C$8,IF(OR(G65="otool",G65="Ghidra",G65="Outro binário"),Legenda!$C$9,0))+MIN(Legenda!$C$11,MAX(0,J65-1)*Legenda!$C$10))),IF(H65="Parcial",MIN(Legenda!$C$13,MIN(10,IF(E65="Sim",Legenda!$C$4,IF(E65="Parcial",Legenda!$C$5,0))+IF(F65="Sim",Legenda!$C$6,IF(F65="Parcial",Legenda!$C$7,0))+IF(G65="otool + Ghidra",Legenda!$C$8,IF(OR(G65="otool",G65="Ghidra",G65="Outro binário"),Legenda!$C$9,0))+MIN(Legenda!$C$11,MAX(0,J65-1)*Legenda!$C$10))),MIN(10,IF(E65="Sim",Legenda!$C$4,IF(E65="Parcial",Legenda!$C$5,0))+IF(F65="Sim",Legenda!$C$6,IF(F65="Parcial",Legenda!$C$7,0))+IF(G65="otool + Ghidra",Legenda!$C$8,IF(OR(G65="otool",G65="Ghidra",G65="Outro binário"),Legenda!$C$9,0))+MIN(Legenda!$C$11,MAX(0,J65-1)*Legenda!$C$10)))),1)</f>
        <v/>
      </c>
      <c r="M65" s="67" t="inlineStr">
        <is>
          <t>A1-ghidra/Q-SDK-reserved-slots.md §2; B3 §5.3; D</t>
        </is>
      </c>
      <c r="N65" s="67" t="inlineStr">
        <is>
          <t>C1:275,284; C6:213</t>
        </is>
      </c>
      <c r="O65" s="67" t="inlineStr">
        <is>
          <t>C1/C6 ainda citam deriva de slots.</t>
        </is>
      </c>
      <c r="P65" s="69">
        <f>LEFT(A65,FIND(".",A65&amp;".")-1)</f>
        <v/>
      </c>
    </row>
    <row r="66" ht="22.35" customHeight="1" s="21">
      <c r="A66" s="65" t="inlineStr">
        <is>
          <t>A1-Q-SDK.2</t>
        </is>
      </c>
      <c r="B66" s="66" t="inlineStr">
        <is>
          <t>A1</t>
        </is>
      </c>
      <c r="C66" s="67" t="inlineStr">
        <is>
          <t>kxld e slots consumidos</t>
        </is>
      </c>
      <c r="D66" s="67" t="inlineStr">
        <is>
          <t>O kxld deve resolver entradas que apontam para pad slots agora usados, sem deslocar os outros overrides.</t>
        </is>
      </c>
      <c r="E66" s="66" t="inlineStr">
        <is>
          <t>Sim</t>
        </is>
      </c>
      <c r="F66" s="66" t="inlineStr">
        <is>
          <t>Sim</t>
        </is>
      </c>
      <c r="G66" s="66" t="inlineStr">
        <is>
          <t>Outro binário</t>
        </is>
      </c>
      <c r="H66" s="66" t="inlineStr">
        <is>
          <t>Não</t>
        </is>
      </c>
      <c r="I66" s="67" t="inlineStr">
        <is>
          <t>raciocínio sobre o mecanismo de pad slots</t>
        </is>
      </c>
      <c r="J66" s="66">
        <f>IF(TRIM(I66)="",0,LEN(I66)-LEN(SUBSTITUTE(I66,";",""))+1)</f>
        <v/>
      </c>
      <c r="K66" s="67" t="inlineStr">
        <is>
          <t>Corrigido 2026-10-14</t>
        </is>
      </c>
      <c r="L66" s="68">
        <f>ROUND(IF(H66="Sim",MIN(Legenda!$C$12,MIN(10,IF(E66="Sim",Legenda!$C$4,IF(E66="Parcial",Legenda!$C$5,0))+IF(F66="Sim",Legenda!$C$6,IF(F66="Parcial",Legenda!$C$7,0))+IF(G66="otool + Ghidra",Legenda!$C$8,IF(OR(G66="otool",G66="Ghidra",G66="Outro binário"),Legenda!$C$9,0))+MIN(Legenda!$C$11,MAX(0,J66-1)*Legenda!$C$10))),IF(H66="Parcial",MIN(Legenda!$C$13,MIN(10,IF(E66="Sim",Legenda!$C$4,IF(E66="Parcial",Legenda!$C$5,0))+IF(F66="Sim",Legenda!$C$6,IF(F66="Parcial",Legenda!$C$7,0))+IF(G66="otool + Ghidra",Legenda!$C$8,IF(OR(G66="otool",G66="Ghidra",G66="Outro binário"),Legenda!$C$9,0))+MIN(Legenda!$C$11,MAX(0,J66-1)*Legenda!$C$10))),MIN(10,IF(E66="Sim",Legenda!$C$4,IF(E66="Parcial",Legenda!$C$5,0))+IF(F66="Sim",Legenda!$C$6,IF(F66="Parcial",Legenda!$C$7,0))+IF(G66="otool + Ghidra",Legenda!$C$8,IF(OR(G66="otool",G66="Ghidra",G66="Outro binário"),Legenda!$C$9,0))+MIN(Legenda!$C$11,MAX(0,J66-1)*Legenda!$C$10)))),1)</f>
        <v/>
      </c>
      <c r="M66" s="67" t="inlineStr">
        <is>
          <t>Q-SDK §4</t>
        </is>
      </c>
      <c r="N66" s="67" t="inlineStr">
        <is>
          <t>—</t>
        </is>
      </c>
      <c r="O66" s="67" t="inlineStr">
        <is>
          <t>Confirmar com kextutil -n (bundle em /tmp) — exige sua autorização. | kextutil -n -t no build PC (autorizado): "appears to be loadable (including linkage for on-disk libraries)", exit 0; assinatura invalida (-67007) tolerada (SIP desligado). Sem quebra de link; o panico e de runtime. Nada carregado. R26</t>
        </is>
      </c>
      <c r="P66" s="69">
        <f>LEFT(A66,FIND(".",A66&amp;".")-1)</f>
        <v/>
      </c>
    </row>
    <row r="67" ht="32.8" customHeight="1" s="21">
      <c r="A67" s="65" t="inlineStr">
        <is>
          <t>A1-Q-SDK.3</t>
        </is>
      </c>
      <c r="B67" s="66" t="inlineStr">
        <is>
          <t>A1</t>
        </is>
      </c>
      <c r="C67" s="67" t="inlineStr">
        <is>
          <t>Pânico do kext de referência no 10.13</t>
        </is>
      </c>
      <c r="D67" s="67" t="inlineStr">
        <is>
          <t>operator delete(NULL) → pânico no kfree durante teardown: FWAudioDevice::free() @0x23b7 ([+0x110]) e destrutor de FW410Device @0x13ab3.</t>
        </is>
      </c>
      <c r="E67" s="66" t="inlineStr">
        <is>
          <t>Sim</t>
        </is>
      </c>
      <c r="F67" s="66" t="inlineStr">
        <is>
          <t>Sim</t>
        </is>
      </c>
      <c r="G67" s="66" t="inlineStr">
        <is>
          <t>otool</t>
        </is>
      </c>
      <c r="H67" s="66" t="inlineStr">
        <is>
          <t>Não</t>
        </is>
      </c>
      <c r="I67" s="67" t="inlineStr">
        <is>
          <t>logs de pânico do build PC (2026-10-01 ×2, 2026-10-05); asm</t>
        </is>
      </c>
      <c r="J67" s="66">
        <f>IF(TRIM(I67)="",0,LEN(I67)-LEN(SUBSTITUTE(I67,";",""))+1)</f>
        <v/>
      </c>
      <c r="K67" s="67" t="inlineStr">
        <is>
          <t>Corrigido 2026-10-14</t>
        </is>
      </c>
      <c r="L67" s="68">
        <f>ROUND(IF(H67="Sim",MIN(Legenda!$C$12,MIN(10,IF(E67="Sim",Legenda!$C$4,IF(E67="Parcial",Legenda!$C$5,0))+IF(F67="Sim",Legenda!$C$6,IF(F67="Parcial",Legenda!$C$7,0))+IF(G67="otool + Ghidra",Legenda!$C$8,IF(OR(G67="otool",G67="Ghidra",G67="Outro binário"),Legenda!$C$9,0))+MIN(Legenda!$C$11,MAX(0,J67-1)*Legenda!$C$10))),IF(H67="Parcial",MIN(Legenda!$C$13,MIN(10,IF(E67="Sim",Legenda!$C$4,IF(E67="Parcial",Legenda!$C$5,0))+IF(F67="Sim",Legenda!$C$6,IF(F67="Parcial",Legenda!$C$7,0))+IF(G67="otool + Ghidra",Legenda!$C$8,IF(OR(G67="otool",G67="Ghidra",G67="Outro binário"),Legenda!$C$9,0))+MIN(Legenda!$C$11,MAX(0,J67-1)*Legenda!$C$10))),MIN(10,IF(E67="Sim",Legenda!$C$4,IF(E67="Parcial",Legenda!$C$5,0))+IF(F67="Sim",Legenda!$C$6,IF(F67="Parcial",Legenda!$C$7,0))+IF(G67="otool + Ghidra",Legenda!$C$8,IF(OR(G67="otool",G67="Ghidra",G67="Outro binário"),Legenda!$C$9,0))+MIN(Legenda!$C$11,MAX(0,J67-1)*Legenda!$C$10)))),1)</f>
        <v/>
      </c>
      <c r="M67" s="67" t="inlineStr">
        <is>
          <t>Q-SDK §5; docs/system-map/build-pc-panics/</t>
        </is>
      </c>
      <c r="N67" s="67" t="inlineStr">
        <is>
          <t>—</t>
        </is>
      </c>
      <c r="O67" s="67" t="inlineStr">
        <is>
          <t>Motivo de haver uma instância de FW410Device em 10-01 11:01: desconhecido.</t>
        </is>
      </c>
      <c r="P67" s="69">
        <f>LEFT(A67,FIND(".",A67&amp;".")-1)</f>
        <v/>
      </c>
    </row>
    <row r="68" ht="43.25" customHeight="1" s="21">
      <c r="A68" s="65" t="inlineStr">
        <is>
          <t>A1-Q-SDK.4</t>
        </is>
      </c>
      <c r="B68" s="66" t="inlineStr">
        <is>
          <t>A1</t>
        </is>
      </c>
      <c r="C68" s="67" t="inlineStr">
        <is>
          <t>Falha anterior ao pânico</t>
        </is>
      </c>
      <c r="D68" s="67" t="inlineStr">
        <is>
          <t>[+0x110] só é alocado no fim do initHardware; a falha está em AllocateConnectionManager, createAudioEngine, RequestFormatUpdate/CompletePendingStateChanges, InitializeUserSettableProperties ou no start.</t>
        </is>
      </c>
      <c r="E68" s="66" t="inlineStr">
        <is>
          <t>Sim</t>
        </is>
      </c>
      <c r="F68" s="66" t="inlineStr">
        <is>
          <t>Sim</t>
        </is>
      </c>
      <c r="G68" s="66" t="inlineStr">
        <is>
          <t>otool</t>
        </is>
      </c>
      <c r="H68" s="66" t="inlineStr">
        <is>
          <t>Parcial</t>
        </is>
      </c>
      <c r="I68" s="67" t="inlineStr">
        <is>
          <t>asm 0x342e..0x3635; logs de pânico</t>
        </is>
      </c>
      <c r="J68" s="66">
        <f>IF(TRIM(I68)="",0,LEN(I68)-LEN(SUBSTITUTE(I68,";",""))+1)</f>
        <v/>
      </c>
      <c r="K68" s="67" t="inlineStr">
        <is>
          <t>Corrigido 2026-10-14</t>
        </is>
      </c>
      <c r="L68" s="68">
        <f>ROUND(IF(H68="Sim",MIN(Legenda!$C$12,MIN(10,IF(E68="Sim",Legenda!$C$4,IF(E68="Parcial",Legenda!$C$5,0))+IF(F68="Sim",Legenda!$C$6,IF(F68="Parcial",Legenda!$C$7,0))+IF(G68="otool + Ghidra",Legenda!$C$8,IF(OR(G68="otool",G68="Ghidra",G68="Outro binário"),Legenda!$C$9,0))+MIN(Legenda!$C$11,MAX(0,J68-1)*Legenda!$C$10))),IF(H68="Parcial",MIN(Legenda!$C$13,MIN(10,IF(E68="Sim",Legenda!$C$4,IF(E68="Parcial",Legenda!$C$5,0))+IF(F68="Sim",Legenda!$C$6,IF(F68="Parcial",Legenda!$C$7,0))+IF(G68="otool + Ghidra",Legenda!$C$8,IF(OR(G68="otool",G68="Ghidra",G68="Outro binário"),Legenda!$C$9,0))+MIN(Legenda!$C$11,MAX(0,J68-1)*Legenda!$C$10))),MIN(10,IF(E68="Sim",Legenda!$C$4,IF(E68="Parcial",Legenda!$C$5,0))+IF(F68="Sim",Legenda!$C$6,IF(F68="Parcial",Legenda!$C$7,0))+IF(G68="otool + Ghidra",Legenda!$C$8,IF(OR(G68="otool",G68="Ghidra",G68="Outro binário"),Legenda!$C$9,0))+MIN(Legenda!$C$11,MAX(0,J68-1)*Legenda!$C$10)))),1)</f>
        <v/>
      </c>
      <c r="M68" s="67" t="inlineStr">
        <is>
          <t>Q3b §1; Q-SDK §5 (Update)</t>
        </is>
      </c>
      <c r="N68" s="67" t="inlineStr">
        <is>
          <t>—</t>
        </is>
      </c>
      <c r="O68" s="67" t="inlineStr">
        <is>
          <t>Qual etapa falha: desconhecido (só importa para D1/D3). | Simbolizados os 6 panics: 4 sao probeCandidates+1904 -&gt; free() -&gt; __ZdlPv (sem null check); motivo da liberacao do candidato (falha de init/probe/start ou candidato perdedor) segue desconhecido e o hardware nao esta no High Sierra. R22 | kextload real sem dispositivo: carrega e descarrega limpo, 0 objetos, sem panico =&gt; o panico exige candidato com provider (dispositivo). Motivo da liberacao do candidato segue desconhecido: so repetindo o load com o FW1814 neste Mac. R22/R27 | kextload real COM o FW1814 ligado no iMac 10.13.6 (captura 75): panico reproduzido 1x. Frames: probeCandidates+0x770 -&gt; m_audio_b_FWAudioDevice::free (0x2372) -&gt; __ZdlPv no 0x23b7, delete([+0x110]) com NULL -&gt; kalloc_size panic (addr 0). Igual aos 4 panicos anteriores. [+0x110] so e alocado no fim de initHardware =&gt; o candidato e liberado antes de initHardware terminar; QUAL etapa falha segue nao verificado (hipotese). R29</t>
        </is>
      </c>
      <c r="P68" s="69">
        <f>LEFT(A68,FIND(".",A68&amp;".")-1)</f>
        <v/>
      </c>
    </row>
    <row r="69" ht="22.35" customHeight="1" s="21">
      <c r="A69" s="65" t="inlineStr">
        <is>
          <t>A1-Q3b.1</t>
        </is>
      </c>
      <c r="B69" s="66" t="inlineStr">
        <is>
          <t>A1</t>
        </is>
      </c>
      <c r="C69" s="67" t="inlineStr">
        <is>
          <t>Padrões de fábrica</t>
        </is>
      </c>
      <c r="D69" s="67" t="inlineStr">
        <is>
          <t>ResetToFactorySettings @0xd190: MAClockSource = 0x40000003; canais level 0 / bal 0 / mute 0 / solo 0 / linked 1; roteamento identidade (1&lt;&lt;i); aux 0xffffff01.</t>
        </is>
      </c>
      <c r="E69" s="66" t="inlineStr">
        <is>
          <t>Sim</t>
        </is>
      </c>
      <c r="F69" s="66" t="inlineStr">
        <is>
          <t>Não</t>
        </is>
      </c>
      <c r="G69" s="66" t="inlineStr">
        <is>
          <t>otool + Ghidra</t>
        </is>
      </c>
      <c r="H69" s="66" t="inlineStr">
        <is>
          <t>Não</t>
        </is>
      </c>
      <c r="I69" s="67" t="inlineStr">
        <is>
          <t>asm 0xd190, 0x21bc4..0x21c8e, 0x215b0..0x21705; Ghidra</t>
        </is>
      </c>
      <c r="J69" s="66">
        <f>IF(TRIM(I69)="",0,LEN(I69)-LEN(SUBSTITUTE(I69,";",""))+1)</f>
        <v/>
      </c>
      <c r="K69" s="67" t="inlineStr">
        <is>
          <t>Corrigido 2026-10-14</t>
        </is>
      </c>
      <c r="L69" s="68">
        <f>ROUND(IF(H69="Sim",MIN(Legenda!$C$12,MIN(10,IF(E69="Sim",Legenda!$C$4,IF(E69="Parcial",Legenda!$C$5,0))+IF(F69="Sim",Legenda!$C$6,IF(F69="Parcial",Legenda!$C$7,0))+IF(G69="otool + Ghidra",Legenda!$C$8,IF(OR(G69="otool",G69="Ghidra",G69="Outro binário"),Legenda!$C$9,0))+MIN(Legenda!$C$11,MAX(0,J69-1)*Legenda!$C$10))),IF(H69="Parcial",MIN(Legenda!$C$13,MIN(10,IF(E69="Sim",Legenda!$C$4,IF(E69="Parcial",Legenda!$C$5,0))+IF(F69="Sim",Legenda!$C$6,IF(F69="Parcial",Legenda!$C$7,0))+IF(G69="otool + Ghidra",Legenda!$C$8,IF(OR(G69="otool",G69="Ghidra",G69="Outro binário"),Legenda!$C$9,0))+MIN(Legenda!$C$11,MAX(0,J69-1)*Legenda!$C$10))),MIN(10,IF(E69="Sim",Legenda!$C$4,IF(E69="Parcial",Legenda!$C$5,0))+IF(F69="Sim",Legenda!$C$6,IF(F69="Parcial",Legenda!$C$7,0))+IF(G69="otool + Ghidra",Legenda!$C$8,IF(OR(G69="otool",G69="Ghidra",G69="Outro binário"),Legenda!$C$9,0))+MIN(Legenda!$C$11,MAX(0,J69-1)*Legenda!$C$10)))),1)</f>
        <v/>
      </c>
      <c r="M69" s="67" t="inlineStr">
        <is>
          <t>A1-ghidra/Q3b-mixer-power-on-defaults.md §2</t>
        </is>
      </c>
      <c r="N69" s="67" t="inlineStr">
        <is>
          <t>—</t>
        </is>
      </c>
      <c r="O69" s="67" t="inlineStr">
        <is>
          <t>Chamado no fim de todo initHardware bem-sucedido.</t>
        </is>
      </c>
      <c r="P69" s="69">
        <f>LEFT(A69,FIND(".",A69&amp;".")-1)</f>
        <v/>
      </c>
    </row>
    <row r="70" ht="22.35" customHeight="1" s="21">
      <c r="A70" s="65" t="inlineStr">
        <is>
          <t>A1-Q3b.2</t>
        </is>
      </c>
      <c r="B70" s="66" t="inlineStr">
        <is>
          <t>A1</t>
        </is>
      </c>
      <c r="C70" s="67" t="inlineStr">
        <is>
          <t>Chaves MA* e codificação de registro</t>
        </is>
      </c>
      <c r="D70" s="67" t="inlineStr">
        <is>
          <t>Qual chave MA* cada array/propriedade representa e como valor → palavra de registro (AdjustedLevels).</t>
        </is>
      </c>
      <c r="E70" s="66" t="inlineStr">
        <is>
          <t>Sim</t>
        </is>
      </c>
      <c r="F70" s="66" t="inlineStr">
        <is>
          <t>Parcial</t>
        </is>
      </c>
      <c r="G70" s="66" t="inlineStr">
        <is>
          <t>otool + Ghidra</t>
        </is>
      </c>
      <c r="H70" s="66" t="inlineStr">
        <is>
          <t>Parcial</t>
        </is>
      </c>
      <c r="I70" s="67" t="inlineStr">
        <is>
          <t>—</t>
        </is>
      </c>
      <c r="J70" s="66">
        <f>IF(TRIM(I70)="",0,LEN(I70)-LEN(SUBSTITUTE(I70,";",""))+1)</f>
        <v/>
      </c>
      <c r="K70" s="67" t="inlineStr">
        <is>
          <t>Corrigido 2026-10-14</t>
        </is>
      </c>
      <c r="L70" s="68">
        <f>ROUND(IF(H70="Sim",MIN(Legenda!$C$12,MIN(10,IF(E70="Sim",Legenda!$C$4,IF(E70="Parcial",Legenda!$C$5,0))+IF(F70="Sim",Legenda!$C$6,IF(F70="Parcial",Legenda!$C$7,0))+IF(G70="otool + Ghidra",Legenda!$C$8,IF(OR(G70="otool",G70="Ghidra",G70="Outro binário"),Legenda!$C$9,0))+MIN(Legenda!$C$11,MAX(0,J70-1)*Legenda!$C$10))),IF(H70="Parcial",MIN(Legenda!$C$13,MIN(10,IF(E70="Sim",Legenda!$C$4,IF(E70="Parcial",Legenda!$C$5,0))+IF(F70="Sim",Legenda!$C$6,IF(F70="Parcial",Legenda!$C$7,0))+IF(G70="otool + Ghidra",Legenda!$C$8,IF(OR(G70="otool",G70="Ghidra",G70="Outro binário"),Legenda!$C$9,0))+MIN(Legenda!$C$11,MAX(0,J70-1)*Legenda!$C$10))),MIN(10,IF(E70="Sim",Legenda!$C$4,IF(E70="Parcial",Legenda!$C$5,0))+IF(F70="Sim",Legenda!$C$6,IF(F70="Parcial",Legenda!$C$7,0))+IF(G70="otool + Ghidra",Legenda!$C$8,IF(OR(G70="otool",G70="Ghidra",G70="Outro binário"),Legenda!$C$9,0))+MIN(Legenda!$C$11,MAX(0,J70-1)*Legenda!$C$10)))),1)</f>
        <v/>
      </c>
      <c r="M70" s="67" t="inlineStr">
        <is>
          <t>Q3b §3; BUILD-MANUAL §2.E Q-MAMAP</t>
        </is>
      </c>
      <c r="N70" s="67" t="inlineStr">
        <is>
          <t>—</t>
        </is>
      </c>
      <c r="O70" s="67" t="inlineStr">
        <is>
          <t>Bloqueia o Q-MAMAP (46 linhas). | Q-MAMAP concluido: 43 chaves ajustaveis/consultaveis -&gt; registro (Init), setter, destino (registrador 0xFFC7:0x700000+off ou AV/C), padrao. Pendentes: significado dos bits de 0x90/0x98/0x9c, ordem de bytes do pan no fio, semantica dos seletores AV/C. Q-MAMAP-key-crosswalk.md; R20</t>
        </is>
      </c>
      <c r="P70" s="69">
        <f>LEFT(A70,FIND(".",A70&amp;".")-1)</f>
        <v/>
      </c>
    </row>
    <row r="71" ht="22.35" customHeight="1" s="21">
      <c r="A71" s="65" t="inlineStr">
        <is>
          <t>A1-Q3b.3</t>
        </is>
      </c>
      <c r="B71" s="66" t="inlineStr">
        <is>
          <t>A1</t>
        </is>
      </c>
      <c r="C71" s="67" t="inlineStr">
        <is>
          <t>Reaplicação das preferências salvas</t>
        </is>
      </c>
      <c r="D71" s="67" t="inlineStr">
        <is>
          <t>Painel/helper reaplicam com.m-audio.device-settings.firewire.plist ao iniciar?</t>
        </is>
      </c>
      <c r="E71" s="66" t="inlineStr">
        <is>
          <t>Sim</t>
        </is>
      </c>
      <c r="F71" s="66" t="inlineStr">
        <is>
          <t>Sim</t>
        </is>
      </c>
      <c r="G71" s="66" t="inlineStr">
        <is>
          <t>otool + Ghidra</t>
        </is>
      </c>
      <c r="H71" s="66" t="inlineStr">
        <is>
          <t>Não</t>
        </is>
      </c>
      <c r="I71" s="67" t="inlineStr">
        <is>
          <t>captura B5 23 (plist de prefs existe, v1.9)</t>
        </is>
      </c>
      <c r="J71" s="66">
        <f>IF(TRIM(I71)="",0,LEN(I71)-LEN(SUBSTITUTE(I71,";",""))+1)</f>
        <v/>
      </c>
      <c r="K71" s="67" t="inlineStr">
        <is>
          <t>Corrigido 2026-10-14</t>
        </is>
      </c>
      <c r="L71" s="68">
        <f>ROUND(IF(H71="Sim",MIN(Legenda!$C$12,MIN(10,IF(E71="Sim",Legenda!$C$4,IF(E71="Parcial",Legenda!$C$5,0))+IF(F71="Sim",Legenda!$C$6,IF(F71="Parcial",Legenda!$C$7,0))+IF(G71="otool + Ghidra",Legenda!$C$8,IF(OR(G71="otool",G71="Ghidra",G71="Outro binário"),Legenda!$C$9,0))+MIN(Legenda!$C$11,MAX(0,J71-1)*Legenda!$C$10))),IF(H71="Parcial",MIN(Legenda!$C$13,MIN(10,IF(E71="Sim",Legenda!$C$4,IF(E71="Parcial",Legenda!$C$5,0))+IF(F71="Sim",Legenda!$C$6,IF(F71="Parcial",Legenda!$C$7,0))+IF(G71="otool + Ghidra",Legenda!$C$8,IF(OR(G71="otool",G71="Ghidra",G71="Outro binário"),Legenda!$C$9,0))+MIN(Legenda!$C$11,MAX(0,J71-1)*Legenda!$C$10))),MIN(10,IF(E71="Sim",Legenda!$C$4,IF(E71="Parcial",Legenda!$C$5,0))+IF(F71="Sim",Legenda!$C$6,IF(F71="Parcial",Legenda!$C$7,0))+IF(G71="otool + Ghidra",Legenda!$C$8,IF(OR(G71="otool",G71="Ghidra",G71="Outro binário"),Legenda!$C$9,0))+MIN(Legenda!$C$11,MAX(0,J71-1)*Legenda!$C$10)))),1)</f>
        <v/>
      </c>
      <c r="M71" s="67" t="inlineStr">
        <is>
          <t>Q3b §1</t>
        </is>
      </c>
      <c r="N71" s="67" t="inlineStr">
        <is>
          <t>—</t>
        </is>
      </c>
      <c r="O71" s="67" t="inlineStr">
        <is>
          <t>SL v1.9 (captura 71): o helper reaplica as preferências (3 setProperties ao reiniciar); o Panel não escreve no lançamento. Conteúdo dos payloads de 6570 B não decodificado. | Resolvido: o HELPER persiste (CFPreferences por GUID, 4 s) e reaplica (1 setProperties) ao anexar/login; Panel nao escreve. 60 B = MAFirmwareStart=YES; 6570 B = prefs. Aberto: por que dois writes de 6570 B. A4/H11-settings-persistence.md</t>
        </is>
      </c>
      <c r="P71" s="69">
        <f>LEFT(A71,FIND(".",A71&amp;".")-1)</f>
        <v/>
      </c>
    </row>
    <row r="72" ht="22.35" customHeight="1" s="21">
      <c r="A72" s="65" t="inlineStr">
        <is>
          <t>A2-P1.1</t>
        </is>
      </c>
      <c r="B72" s="66" t="inlineStr">
        <is>
          <t>A2</t>
        </is>
      </c>
      <c r="C72" s="67" t="inlineStr">
        <is>
          <t>Descoberta do dispositivo no painel</t>
        </is>
      </c>
      <c r="D72" s="67" t="inlineStr">
        <is>
          <t>CControlPanelApp + CDeviceList → IOServiceOpen no FWUserClient.</t>
        </is>
      </c>
      <c r="E72" s="66" t="inlineStr">
        <is>
          <t>Sim</t>
        </is>
      </c>
      <c r="F72" s="66" t="inlineStr">
        <is>
          <t>Sim</t>
        </is>
      </c>
      <c r="G72" s="66" t="inlineStr">
        <is>
          <t>otool + Ghidra</t>
        </is>
      </c>
      <c r="H72" s="66" t="inlineStr">
        <is>
          <t>Não</t>
        </is>
      </c>
      <c r="I72" s="67" t="inlineStr">
        <is>
          <t>Ghidra (painel v1.5.2); ioreg B5 (painel abre FWUserClient, v1.9)</t>
        </is>
      </c>
      <c r="J72" s="66">
        <f>IF(TRIM(I72)="",0,LEN(I72)-LEN(SUBSTITUTE(I72,";",""))+1)</f>
        <v/>
      </c>
      <c r="K72" s="67" t="inlineStr">
        <is>
          <t>Corrigido 2026-10-14</t>
        </is>
      </c>
      <c r="L72" s="68">
        <f>ROUND(IF(H72="Sim",MIN(Legenda!$C$12,MIN(10,IF(E72="Sim",Legenda!$C$4,IF(E72="Parcial",Legenda!$C$5,0))+IF(F72="Sim",Legenda!$C$6,IF(F72="Parcial",Legenda!$C$7,0))+IF(G72="otool + Ghidra",Legenda!$C$8,IF(OR(G72="otool",G72="Ghidra",G72="Outro binário"),Legenda!$C$9,0))+MIN(Legenda!$C$11,MAX(0,J72-1)*Legenda!$C$10))),IF(H72="Parcial",MIN(Legenda!$C$13,MIN(10,IF(E72="Sim",Legenda!$C$4,IF(E72="Parcial",Legenda!$C$5,0))+IF(F72="Sim",Legenda!$C$6,IF(F72="Parcial",Legenda!$C$7,0))+IF(G72="otool + Ghidra",Legenda!$C$8,IF(OR(G72="otool",G72="Ghidra",G72="Outro binário"),Legenda!$C$9,0))+MIN(Legenda!$C$11,MAX(0,J72-1)*Legenda!$C$10))),MIN(10,IF(E72="Sim",Legenda!$C$4,IF(E72="Parcial",Legenda!$C$5,0))+IF(F72="Sim",Legenda!$C$6,IF(F72="Parcial",Legenda!$C$7,0))+IF(G72="otool + Ghidra",Legenda!$C$8,IF(OR(G72="otool",G72="Ghidra",G72="Outro binário"),Legenda!$C$9,0))+MIN(Legenda!$C$11,MAX(0,J72-1)*Legenda!$C$10)))),1)</f>
        <v/>
      </c>
      <c r="M72" s="67" t="inlineStr">
        <is>
          <t>A2-panel/P1-device-discovery.md</t>
        </is>
      </c>
      <c r="N72" s="67" t="inlineStr">
        <is>
          <t>—</t>
        </is>
      </c>
      <c r="O72" s="67" t="inlineStr">
        <is>
          <t>Type-1 = pagina de medidores (nao MIDI); ctor semeia cache de MAMetaAllProperties; strings IOServiceMatched/Terminate. A2/AUDIT-2026-10-14.md</t>
        </is>
      </c>
      <c r="P72" s="69">
        <f>LEFT(A72,FIND(".",A72&amp;".")-1)</f>
        <v/>
      </c>
    </row>
    <row r="73" ht="22.35" customHeight="1" s="21">
      <c r="A73" s="65" t="inlineStr">
        <is>
          <t>A2-P2.1</t>
        </is>
      </c>
      <c r="B73" s="66" t="inlineStr">
        <is>
          <t>A2</t>
        </is>
      </c>
      <c r="C73" s="67" t="inlineStr">
        <is>
          <t>Recepção de notificações</t>
        </is>
      </c>
      <c r="D73" s="67" t="inlineStr">
        <is>
          <t>O painel trata só bodyType 0 (dict de propriedades); picos e rate-lock são lidos por polling.</t>
        </is>
      </c>
      <c r="E73" s="66" t="inlineStr">
        <is>
          <t>Parcial</t>
        </is>
      </c>
      <c r="F73" s="66" t="inlineStr">
        <is>
          <t>Não</t>
        </is>
      </c>
      <c r="G73" s="66" t="inlineStr">
        <is>
          <t>Ghidra</t>
        </is>
      </c>
      <c r="H73" s="66" t="inlineStr">
        <is>
          <t>Não</t>
        </is>
      </c>
      <c r="I73" s="67" t="inlineStr">
        <is>
          <t>Ghidra; kext Q-UC §4</t>
        </is>
      </c>
      <c r="J73" s="66">
        <f>IF(TRIM(I73)="",0,LEN(I73)-LEN(SUBSTITUTE(I73,";",""))+1)</f>
        <v/>
      </c>
      <c r="K73" s="67" t="inlineStr">
        <is>
          <t>Consistente</t>
        </is>
      </c>
      <c r="L73" s="68">
        <f>ROUND(IF(H73="Sim",MIN(Legenda!$C$12,MIN(10,IF(E73="Sim",Legenda!$C$4,IF(E73="Parcial",Legenda!$C$5,0))+IF(F73="Sim",Legenda!$C$6,IF(F73="Parcial",Legenda!$C$7,0))+IF(G73="otool + Ghidra",Legenda!$C$8,IF(OR(G73="otool",G73="Ghidra",G73="Outro binário"),Legenda!$C$9,0))+MIN(Legenda!$C$11,MAX(0,J73-1)*Legenda!$C$10))),IF(H73="Parcial",MIN(Legenda!$C$13,MIN(10,IF(E73="Sim",Legenda!$C$4,IF(E73="Parcial",Legenda!$C$5,0))+IF(F73="Sim",Legenda!$C$6,IF(F73="Parcial",Legenda!$C$7,0))+IF(G73="otool + Ghidra",Legenda!$C$8,IF(OR(G73="otool",G73="Ghidra",G73="Outro binário"),Legenda!$C$9,0))+MIN(Legenda!$C$11,MAX(0,J73-1)*Legenda!$C$10))),MIN(10,IF(E73="Sim",Legenda!$C$4,IF(E73="Parcial",Legenda!$C$5,0))+IF(F73="Sim",Legenda!$C$6,IF(F73="Parcial",Legenda!$C$7,0))+IF(G73="otool + Ghidra",Legenda!$C$8,IF(OR(G73="otool",G73="Ghidra",G73="Outro binário"),Legenda!$C$9,0))+MIN(Legenda!$C$11,MAX(0,J73-1)*Legenda!$C$10)))),1)</f>
        <v/>
      </c>
      <c r="M73" s="67" t="inlineStr">
        <is>
          <t>A2-panel/P2-notification-receive.md</t>
        </is>
      </c>
      <c r="N73" s="67" t="inlineStr">
        <is>
          <t>—</t>
        </is>
      </c>
      <c r="O73" s="67" t="inlineStr">
        <is>
          <t>—</t>
        </is>
      </c>
      <c r="P73" s="69">
        <f>LEFT(A73,FIND(".",A73&amp;".")-1)</f>
        <v/>
      </c>
    </row>
    <row r="74" ht="15" customHeight="1" s="21">
      <c r="A74" s="65" t="inlineStr">
        <is>
          <t>A2-P3.1</t>
        </is>
      </c>
      <c r="B74" s="66" t="inlineStr">
        <is>
          <t>A2</t>
        </is>
      </c>
      <c r="C74" s="67" t="inlineStr">
        <is>
          <t>Superfície de 46 chaves MA*</t>
        </is>
      </c>
      <c r="D74" s="67" t="inlineStr">
        <is>
          <t>46 chaves de propriedade, idênticas no v1.9 e no v1.11.2.</t>
        </is>
      </c>
      <c r="E74" s="66" t="inlineStr">
        <is>
          <t>Sim</t>
        </is>
      </c>
      <c r="F74" s="66" t="inlineStr">
        <is>
          <t>Sim</t>
        </is>
      </c>
      <c r="G74" s="66" t="inlineStr">
        <is>
          <t>Ghidra</t>
        </is>
      </c>
      <c r="H74" s="66" t="inlineStr">
        <is>
          <t>Não</t>
        </is>
      </c>
      <c r="I74" s="67" t="inlineStr">
        <is>
          <t>strings do binário; captura B5 30 (chaves v1.9)</t>
        </is>
      </c>
      <c r="J74" s="66">
        <f>IF(TRIM(I74)="",0,LEN(I74)-LEN(SUBSTITUTE(I74,";",""))+1)</f>
        <v/>
      </c>
      <c r="K74" s="67" t="inlineStr">
        <is>
          <t>Consistente</t>
        </is>
      </c>
      <c r="L74" s="68">
        <f>ROUND(IF(H74="Sim",MIN(Legenda!$C$12,MIN(10,IF(E74="Sim",Legenda!$C$4,IF(E74="Parcial",Legenda!$C$5,0))+IF(F74="Sim",Legenda!$C$6,IF(F74="Parcial",Legenda!$C$7,0))+IF(G74="otool + Ghidra",Legenda!$C$8,IF(OR(G74="otool",G74="Ghidra",G74="Outro binário"),Legenda!$C$9,0))+MIN(Legenda!$C$11,MAX(0,J74-1)*Legenda!$C$10))),IF(H74="Parcial",MIN(Legenda!$C$13,MIN(10,IF(E74="Sim",Legenda!$C$4,IF(E74="Parcial",Legenda!$C$5,0))+IF(F74="Sim",Legenda!$C$6,IF(F74="Parcial",Legenda!$C$7,0))+IF(G74="otool + Ghidra",Legenda!$C$8,IF(OR(G74="otool",G74="Ghidra",G74="Outro binário"),Legenda!$C$9,0))+MIN(Legenda!$C$11,MAX(0,J74-1)*Legenda!$C$10))),MIN(10,IF(E74="Sim",Legenda!$C$4,IF(E74="Parcial",Legenda!$C$5,0))+IF(F74="Sim",Legenda!$C$6,IF(F74="Parcial",Legenda!$C$7,0))+IF(G74="otool + Ghidra",Legenda!$C$8,IF(OR(G74="otool",G74="Ghidra",G74="Outro binário"),Legenda!$C$9,0))+MIN(Legenda!$C$11,MAX(0,J74-1)*Legenda!$C$10)))),1)</f>
        <v/>
      </c>
      <c r="M74" s="67" t="inlineStr">
        <is>
          <t>A2-panel/P3-property-key-strings.md; B5 §6</t>
        </is>
      </c>
      <c r="N74" s="67" t="inlineStr">
        <is>
          <t>—</t>
        </is>
      </c>
      <c r="O74" s="67" t="inlineStr">
        <is>
          <t>Base do Q-MAMAP.</t>
        </is>
      </c>
      <c r="P74" s="69">
        <f>LEFT(A74,FIND(".",A74&amp;".")-1)</f>
        <v/>
      </c>
    </row>
    <row r="75" ht="32.8" customHeight="1" s="21">
      <c r="A75" s="65" t="inlineStr">
        <is>
          <t>A2-P5.1</t>
        </is>
      </c>
      <c r="B75" s="66" t="inlineStr">
        <is>
          <t>A2</t>
        </is>
      </c>
      <c r="C75" s="67" t="inlineStr">
        <is>
          <t>Hardware view e gating</t>
        </is>
      </c>
      <c r="D75" s="67" t="inlineStr">
        <is>
          <t>Botões 0x1452..0x1455 (sync), 0x157d/0x1587 (óptico in/out), 0x159b (ADAT 4-ch); AdaptPortsToSettings habilita S/MUX quando qualquer porta óptica = ADAT.</t>
        </is>
      </c>
      <c r="E75" s="66" t="inlineStr">
        <is>
          <t>Parcial</t>
        </is>
      </c>
      <c r="F75" s="66" t="inlineStr">
        <is>
          <t>Sim</t>
        </is>
      </c>
      <c r="G75" s="66" t="inlineStr">
        <is>
          <t>Ghidra</t>
        </is>
      </c>
      <c r="H75" s="66" t="inlineStr">
        <is>
          <t>Não</t>
        </is>
      </c>
      <c r="I75" s="67" t="inlineStr">
        <is>
          <t>Ghidra (a2-p5.log, a2-manual-crosscheck.log); captura B5 66 (S/MUX, v1.9); manual</t>
        </is>
      </c>
      <c r="J75" s="66">
        <f>IF(TRIM(I75)="",0,LEN(I75)-LEN(SUBSTITUTE(I75,";",""))+1)</f>
        <v/>
      </c>
      <c r="K75" s="67" t="inlineStr">
        <is>
          <t>Corrigido 2026-10-09</t>
        </is>
      </c>
      <c r="L75" s="68">
        <f>ROUND(IF(H75="Sim",MIN(Legenda!$C$12,MIN(10,IF(E75="Sim",Legenda!$C$4,IF(E75="Parcial",Legenda!$C$5,0))+IF(F75="Sim",Legenda!$C$6,IF(F75="Parcial",Legenda!$C$7,0))+IF(G75="otool + Ghidra",Legenda!$C$8,IF(OR(G75="otool",G75="Ghidra",G75="Outro binário"),Legenda!$C$9,0))+MIN(Legenda!$C$11,MAX(0,J75-1)*Legenda!$C$10))),IF(H75="Parcial",MIN(Legenda!$C$13,MIN(10,IF(E75="Sim",Legenda!$C$4,IF(E75="Parcial",Legenda!$C$5,0))+IF(F75="Sim",Legenda!$C$6,IF(F75="Parcial",Legenda!$C$7,0))+IF(G75="otool + Ghidra",Legenda!$C$8,IF(OR(G75="otool",G75="Ghidra",G75="Outro binário"),Legenda!$C$9,0))+MIN(Legenda!$C$11,MAX(0,J75-1)*Legenda!$C$10))),MIN(10,IF(E75="Sim",Legenda!$C$4,IF(E75="Parcial",Legenda!$C$5,0))+IF(F75="Sim",Legenda!$C$6,IF(F75="Parcial",Legenda!$C$7,0))+IF(G75="otool + Ghidra",Legenda!$C$8,IF(OR(G75="otool",G75="Ghidra",G75="Outro binário"),Legenda!$C$9,0))+MIN(Legenda!$C$11,MAX(0,J75-1)*Legenda!$C$10)))),1)</f>
        <v/>
      </c>
      <c r="M75" s="67" t="inlineStr">
        <is>
          <t>A2-panel/P5-hardware-view.md; P-manual-crosscheck.md</t>
        </is>
      </c>
      <c r="N75" s="67" t="inlineStr">
        <is>
          <t>—</t>
        </is>
      </c>
      <c r="O75" s="67" t="inlineStr">
        <is>
          <t>—</t>
        </is>
      </c>
      <c r="P75" s="69">
        <f>LEFT(A75,FIND(".",A75&amp;".")-1)</f>
        <v/>
      </c>
    </row>
    <row r="76" ht="22.35" customHeight="1" s="21">
      <c r="A76" s="65" t="inlineStr">
        <is>
          <t>A2-P6.1</t>
        </is>
      </c>
      <c r="B76" s="66" t="inlineStr">
        <is>
          <t>A2</t>
        </is>
      </c>
      <c r="C76" s="67" t="inlineStr">
        <is>
          <t>Mixer view</t>
        </is>
      </c>
      <c r="D76" s="67" t="inlineStr">
        <is>
          <t>Reconstrução de topologia, gating por taxa, Solo.</t>
        </is>
      </c>
      <c r="E76" s="66" t="inlineStr">
        <is>
          <t>Sim</t>
        </is>
      </c>
      <c r="F76" s="66" t="inlineStr">
        <is>
          <t>Não</t>
        </is>
      </c>
      <c r="G76" s="66" t="inlineStr">
        <is>
          <t>otool + Ghidra</t>
        </is>
      </c>
      <c r="H76" s="66" t="inlineStr">
        <is>
          <t>Não</t>
        </is>
      </c>
      <c r="I76" s="67" t="inlineStr">
        <is>
          <t>Ghidra</t>
        </is>
      </c>
      <c r="J76" s="66">
        <f>IF(TRIM(I76)="",0,LEN(I76)-LEN(SUBSTITUTE(I76,";",""))+1)</f>
        <v/>
      </c>
      <c r="K76" s="67" t="inlineStr">
        <is>
          <t>Corrigido 2026-10-14</t>
        </is>
      </c>
      <c r="L76" s="68">
        <f>ROUND(IF(H76="Sim",MIN(Legenda!$C$12,MIN(10,IF(E76="Sim",Legenda!$C$4,IF(E76="Parcial",Legenda!$C$5,0))+IF(F76="Sim",Legenda!$C$6,IF(F76="Parcial",Legenda!$C$7,0))+IF(G76="otool + Ghidra",Legenda!$C$8,IF(OR(G76="otool",G76="Ghidra",G76="Outro binário"),Legenda!$C$9,0))+MIN(Legenda!$C$11,MAX(0,J76-1)*Legenda!$C$10))),IF(H76="Parcial",MIN(Legenda!$C$13,MIN(10,IF(E76="Sim",Legenda!$C$4,IF(E76="Parcial",Legenda!$C$5,0))+IF(F76="Sim",Legenda!$C$6,IF(F76="Parcial",Legenda!$C$7,0))+IF(G76="otool + Ghidra",Legenda!$C$8,IF(OR(G76="otool",G76="Ghidra",G76="Outro binário"),Legenda!$C$9,0))+MIN(Legenda!$C$11,MAX(0,J76-1)*Legenda!$C$10))),MIN(10,IF(E76="Sim",Legenda!$C$4,IF(E76="Parcial",Legenda!$C$5,0))+IF(F76="Sim",Legenda!$C$6,IF(F76="Parcial",Legenda!$C$7,0))+IF(G76="otool + Ghidra",Legenda!$C$8,IF(OR(G76="otool",G76="Ghidra",G76="Outro binário"),Legenda!$C$9,0))+MIN(Legenda!$C$11,MAX(0,J76-1)*Legenda!$C$10)))),1)</f>
        <v/>
      </c>
      <c r="M76" s="67" t="inlineStr">
        <is>
          <t>A2-panel/P6-mixer-view.md</t>
        </is>
      </c>
      <c r="N76" s="67" t="inlineStr">
        <is>
          <t>P6:51</t>
        </is>
      </c>
      <c r="O76" s="67" t="inlineStr">
        <is>
          <t>Corrigido: o cookie 0x615 do FW1814 e 192000 Hz (CX1814Device::GetMaximumMixerSampleRate 0xe9e56; 48000 so em erro de leitura), logo o painel NAO desabilita o aux-send por taxa. Afirmacoes antigas (&gt;48 kHz; P11; manual-crosscheck #5) nao suportadas; manual nao relido. R18</t>
        </is>
      </c>
      <c r="P76" s="69">
        <f>LEFT(A76,FIND(".",A76&amp;".")-1)</f>
        <v/>
      </c>
    </row>
    <row r="77" ht="22.35" customHeight="1" s="21">
      <c r="A77" s="65" t="inlineStr">
        <is>
          <t>A2-P7.1</t>
        </is>
      </c>
      <c r="B77" s="66" t="inlineStr">
        <is>
          <t>A2</t>
        </is>
      </c>
      <c r="C77" s="67" t="inlineStr">
        <is>
          <t>Tradutor cookie ↔ chave</t>
        </is>
      </c>
      <c r="D77" s="67" t="inlineStr">
        <is>
          <t>CXDevice::{Get,Set}HW[Indexed]Setting mapeia cookies (0x5e2..0x615) para chaves MA* ou ChangeDigitalSourceAttribute.</t>
        </is>
      </c>
      <c r="E77" s="66" t="inlineStr">
        <is>
          <t>Sim</t>
        </is>
      </c>
      <c r="F77" s="66" t="inlineStr">
        <is>
          <t>Parcial</t>
        </is>
      </c>
      <c r="G77" s="66" t="inlineStr">
        <is>
          <t>otool + Ghidra</t>
        </is>
      </c>
      <c r="H77" s="66" t="inlineStr">
        <is>
          <t>Não</t>
        </is>
      </c>
      <c r="I77" s="67" t="inlineStr">
        <is>
          <t>Ghidra (a2-p7.log, a2-p7fup.log)</t>
        </is>
      </c>
      <c r="J77" s="66">
        <f>IF(TRIM(I77)="",0,LEN(I77)-LEN(SUBSTITUTE(I77,";",""))+1)</f>
        <v/>
      </c>
      <c r="K77" s="67" t="inlineStr">
        <is>
          <t>Corrigido 2026-10-14</t>
        </is>
      </c>
      <c r="L77" s="68">
        <f>ROUND(IF(H77="Sim",MIN(Legenda!$C$12,MIN(10,IF(E77="Sim",Legenda!$C$4,IF(E77="Parcial",Legenda!$C$5,0))+IF(F77="Sim",Legenda!$C$6,IF(F77="Parcial",Legenda!$C$7,0))+IF(G77="otool + Ghidra",Legenda!$C$8,IF(OR(G77="otool",G77="Ghidra",G77="Outro binário"),Legenda!$C$9,0))+MIN(Legenda!$C$11,MAX(0,J77-1)*Legenda!$C$10))),IF(H77="Parcial",MIN(Legenda!$C$13,MIN(10,IF(E77="Sim",Legenda!$C$4,IF(E77="Parcial",Legenda!$C$5,0))+IF(F77="Sim",Legenda!$C$6,IF(F77="Parcial",Legenda!$C$7,0))+IF(G77="otool + Ghidra",Legenda!$C$8,IF(OR(G77="otool",G77="Ghidra",G77="Outro binário"),Legenda!$C$9,0))+MIN(Legenda!$C$11,MAX(0,J77-1)*Legenda!$C$10))),MIN(10,IF(E77="Sim",Legenda!$C$4,IF(E77="Parcial",Legenda!$C$5,0))+IF(F77="Sim",Legenda!$C$6,IF(F77="Parcial",Legenda!$C$7,0))+IF(G77="otool + Ghidra",Legenda!$C$8,IF(OR(G77="otool",G77="Ghidra",G77="Outro binário"),Legenda!$C$9,0))+MIN(Legenda!$C$11,MAX(0,J77-1)*Legenda!$C$10)))),1)</f>
        <v/>
      </c>
      <c r="M77" s="67" t="inlineStr">
        <is>
          <t>A2-panel/P7-device-settings.md; P7-fup-translator.md §3</t>
        </is>
      </c>
      <c r="N77" s="67" t="inlineStr">
        <is>
          <t>—</t>
        </is>
      </c>
      <c r="O77" s="67" t="inlineStr">
        <is>
          <t>Tabelas 3.1/3.2 do tradutor conferidas caso a caso contra o decompile (a2-p7fup.log: cookies 0x5e2..0x614 e 0x5ea..0x5fb, mesmas chaves e helpers); 12 de 13 chaves existem como strings do painel (MASampleRate e montada); mascaras de ChangeDigitalSourceAttribute (4,8,0x10,0x20) batem com os bits de MAClockSource capturados no SL (caps 66/68/69). Consistencia decompile&lt;-&gt;asm nao refeita para todos os casos. R18</t>
        </is>
      </c>
      <c r="P77" s="69">
        <f>LEFT(A77,FIND(".",A77&amp;".")-1)</f>
        <v/>
      </c>
    </row>
    <row r="78" ht="22.35" customHeight="1" s="21">
      <c r="A78" s="65" t="inlineStr">
        <is>
          <t>A2-P8.1</t>
        </is>
      </c>
      <c r="B78" s="66" t="inlineStr">
        <is>
          <t>A2</t>
        </is>
      </c>
      <c r="C78" s="67" t="inlineStr">
        <is>
          <t>Taxa e buffer no painel</t>
        </is>
      </c>
      <c r="D78" s="67" t="inlineStr">
        <is>
          <t>Taxa via CoreAudio setNominalSampleRate (não propriedade); escada de buffer 64…4096, padrão 512, local à UI.</t>
        </is>
      </c>
      <c r="E78" s="66" t="inlineStr">
        <is>
          <t>Sim</t>
        </is>
      </c>
      <c r="F78" s="66" t="inlineStr">
        <is>
          <t>Parcial</t>
        </is>
      </c>
      <c r="G78" s="66" t="inlineStr">
        <is>
          <t>otool</t>
        </is>
      </c>
      <c r="H78" s="66" t="inlineStr">
        <is>
          <t>Não</t>
        </is>
      </c>
      <c r="I78" s="67" t="inlineStr">
        <is>
          <t>Ghidra; captura B5 50 (troca de taxa no DAW, v1.9)</t>
        </is>
      </c>
      <c r="J78" s="66">
        <f>IF(TRIM(I78)="",0,LEN(I78)-LEN(SUBSTITUTE(I78,";",""))+1)</f>
        <v/>
      </c>
      <c r="K78" s="67" t="inlineStr">
        <is>
          <t>Corrigido 2026-10-14</t>
        </is>
      </c>
      <c r="L78" s="68">
        <f>ROUND(IF(H78="Sim",MIN(Legenda!$C$12,MIN(10,IF(E78="Sim",Legenda!$C$4,IF(E78="Parcial",Legenda!$C$5,0))+IF(F78="Sim",Legenda!$C$6,IF(F78="Parcial",Legenda!$C$7,0))+IF(G78="otool + Ghidra",Legenda!$C$8,IF(OR(G78="otool",G78="Ghidra",G78="Outro binário"),Legenda!$C$9,0))+MIN(Legenda!$C$11,MAX(0,J78-1)*Legenda!$C$10))),IF(H78="Parcial",MIN(Legenda!$C$13,MIN(10,IF(E78="Sim",Legenda!$C$4,IF(E78="Parcial",Legenda!$C$5,0))+IF(F78="Sim",Legenda!$C$6,IF(F78="Parcial",Legenda!$C$7,0))+IF(G78="otool + Ghidra",Legenda!$C$8,IF(OR(G78="otool",G78="Ghidra",G78="Outro binário"),Legenda!$C$9,0))+MIN(Legenda!$C$11,MAX(0,J78-1)*Legenda!$C$10))),MIN(10,IF(E78="Sim",Legenda!$C$4,IF(E78="Parcial",Legenda!$C$5,0))+IF(F78="Sim",Legenda!$C$6,IF(F78="Parcial",Legenda!$C$7,0))+IF(G78="otool + Ghidra",Legenda!$C$8,IF(OR(G78="otool",G78="Ghidra",G78="Outro binário"),Legenda!$C$9,0))+MIN(Legenda!$C$11,MAX(0,J78-1)*Legenda!$C$10)))),1)</f>
        <v/>
      </c>
      <c r="M78" s="67" t="inlineStr">
        <is>
          <t>A2-panel/P8-rate-and-buffer.md</t>
        </is>
      </c>
      <c r="N78" s="67" t="inlineStr">
        <is>
          <t>—</t>
        </is>
      </c>
      <c r="O78" s="67" t="inlineStr">
        <is>
          <t>O buffer real é do CoreAudio (IOBufferFrameSize). | Codigos de mensagem, cookies 0x603/0x604 e setNominalSampleRate: verificados. A2/AUDIT-2026-10-14.md [2026-10-17] Painel do clone agora segue este caminho (CoreAudio setNominalSampleRate: após 1 s; R57). Capturas 80/81.</t>
        </is>
      </c>
      <c r="P78" s="69">
        <f>LEFT(A78,FIND(".",A78&amp;".")-1)</f>
        <v/>
      </c>
    </row>
    <row r="79" ht="22.35" customHeight="1" s="21">
      <c r="A79" s="65" t="inlineStr">
        <is>
          <t>A2-P9.1</t>
        </is>
      </c>
      <c r="B79" s="66" t="inlineStr">
        <is>
          <t>A2</t>
        </is>
      </c>
      <c r="C79" s="67" t="inlineStr">
        <is>
          <t>Leitura de picos no painel</t>
        </is>
      </c>
      <c r="D79" s="67" t="inlineStr">
        <is>
          <t>Bomba a 30 Hz lê a memória compartilhada (GetHWSetting 0x5e9/0x5f3) com conversão log10.</t>
        </is>
      </c>
      <c r="E79" s="66" t="inlineStr">
        <is>
          <t>Parcial</t>
        </is>
      </c>
      <c r="F79" s="66" t="inlineStr">
        <is>
          <t>Sim</t>
        </is>
      </c>
      <c r="G79" s="66" t="inlineStr">
        <is>
          <t>Ghidra</t>
        </is>
      </c>
      <c r="H79" s="66" t="inlineStr">
        <is>
          <t>Parcial</t>
        </is>
      </c>
      <c r="I79" s="67" t="inlineStr">
        <is>
          <t>Ghidra; captura B5 70 (v1.9)</t>
        </is>
      </c>
      <c r="J79" s="66">
        <f>IF(TRIM(I79)="",0,LEN(I79)-LEN(SUBSTITUTE(I79,";",""))+1)</f>
        <v/>
      </c>
      <c r="K79" s="67" t="inlineStr">
        <is>
          <t>Corrigido 2026-10-14</t>
        </is>
      </c>
      <c r="L79" s="68">
        <f>ROUND(IF(H79="Sim",MIN(Legenda!$C$12,MIN(10,IF(E79="Sim",Legenda!$C$4,IF(E79="Parcial",Legenda!$C$5,0))+IF(F79="Sim",Legenda!$C$6,IF(F79="Parcial",Legenda!$C$7,0))+IF(G79="otool + Ghidra",Legenda!$C$8,IF(OR(G79="otool",G79="Ghidra",G79="Outro binário"),Legenda!$C$9,0))+MIN(Legenda!$C$11,MAX(0,J79-1)*Legenda!$C$10))),IF(H79="Parcial",MIN(Legenda!$C$13,MIN(10,IF(E79="Sim",Legenda!$C$4,IF(E79="Parcial",Legenda!$C$5,0))+IF(F79="Sim",Legenda!$C$6,IF(F79="Parcial",Legenda!$C$7,0))+IF(G79="otool + Ghidra",Legenda!$C$8,IF(OR(G79="otool",G79="Ghidra",G79="Outro binário"),Legenda!$C$9,0))+MIN(Legenda!$C$11,MAX(0,J79-1)*Legenda!$C$10))),MIN(10,IF(E79="Sim",Legenda!$C$4,IF(E79="Parcial",Legenda!$C$5,0))+IF(F79="Sim",Legenda!$C$6,IF(F79="Parcial",Legenda!$C$7,0))+IF(G79="otool + Ghidra",Legenda!$C$8,IF(OR(G79="otool",G79="Ghidra",G79="Outro binário"),Legenda!$C$9,0))+MIN(Legenda!$C$11,MAX(0,J79-1)*Legenda!$C$10)))),1)</f>
        <v/>
      </c>
      <c r="M79" s="67" t="inlineStr">
        <is>
          <t>A2-panel/P9-peak-meters.md</t>
        </is>
      </c>
      <c r="N79" s="67" t="inlineStr">
        <is>
          <t>A2-P9:212</t>
        </is>
      </c>
      <c r="O79" s="67" t="inlineStr">
        <is>
          <t>Layout '≈18 in / 14 out' contradiz a página de 52 slots (38 + 14). [2026-10-14] Bloco Correction inserido nos .md; evidência em docs/system-map/PROVENANCE-RESOLUTIONS.md.</t>
        </is>
      </c>
      <c r="P79" s="69">
        <f>LEFT(A79,FIND(".",A79&amp;".")-1)</f>
        <v/>
      </c>
    </row>
    <row r="80" ht="15" customHeight="1" s="21">
      <c r="A80" s="65" t="inlineStr">
        <is>
          <t>A2-P10.1</t>
        </is>
      </c>
      <c r="B80" s="66" t="inlineStr">
        <is>
          <t>A2</t>
        </is>
      </c>
      <c r="C80" s="67" t="inlineStr">
        <is>
          <t>AC3 no painel</t>
        </is>
      </c>
      <c r="D80" s="67" t="inlineStr">
        <is>
          <t>Sem UI de AC3; habilitar exige override SupportsAC3=1 no kext.</t>
        </is>
      </c>
      <c r="E80" s="66" t="inlineStr">
        <is>
          <t>Sim</t>
        </is>
      </c>
      <c r="F80" s="66" t="inlineStr">
        <is>
          <t>Não</t>
        </is>
      </c>
      <c r="G80" s="66" t="inlineStr">
        <is>
          <t>otool</t>
        </is>
      </c>
      <c r="H80" s="66" t="inlineStr">
        <is>
          <t>Não</t>
        </is>
      </c>
      <c r="I80" s="67" t="inlineStr">
        <is>
          <t>Ghidra</t>
        </is>
      </c>
      <c r="J80" s="66">
        <f>IF(TRIM(I80)="",0,LEN(I80)-LEN(SUBSTITUTE(I80,";",""))+1)</f>
        <v/>
      </c>
      <c r="K80" s="67" t="inlineStr">
        <is>
          <t>Corrigido 2026-10-14</t>
        </is>
      </c>
      <c r="L80" s="68">
        <f>ROUND(IF(H80="Sim",MIN(Legenda!$C$12,MIN(10,IF(E80="Sim",Legenda!$C$4,IF(E80="Parcial",Legenda!$C$5,0))+IF(F80="Sim",Legenda!$C$6,IF(F80="Parcial",Legenda!$C$7,0))+IF(G80="otool + Ghidra",Legenda!$C$8,IF(OR(G80="otool",G80="Ghidra",G80="Outro binário"),Legenda!$C$9,0))+MIN(Legenda!$C$11,MAX(0,J80-1)*Legenda!$C$10))),IF(H80="Parcial",MIN(Legenda!$C$13,MIN(10,IF(E80="Sim",Legenda!$C$4,IF(E80="Parcial",Legenda!$C$5,0))+IF(F80="Sim",Legenda!$C$6,IF(F80="Parcial",Legenda!$C$7,0))+IF(G80="otool + Ghidra",Legenda!$C$8,IF(OR(G80="otool",G80="Ghidra",G80="Outro binário"),Legenda!$C$9,0))+MIN(Legenda!$C$11,MAX(0,J80-1)*Legenda!$C$10))),MIN(10,IF(E80="Sim",Legenda!$C$4,IF(E80="Parcial",Legenda!$C$5,0))+IF(F80="Sim",Legenda!$C$6,IF(F80="Parcial",Legenda!$C$7,0))+IF(G80="otool + Ghidra",Legenda!$C$8,IF(OR(G80="otool",G80="Ghidra",G80="Outro binário"),Legenda!$C$9,0))+MIN(Legenda!$C$11,MAX(0,J80-1)*Legenda!$C$10)))),1)</f>
        <v/>
      </c>
      <c r="M80" s="67" t="inlineStr">
        <is>
          <t>A2-panel/P10-ac3-passthrough.md</t>
        </is>
      </c>
      <c r="N80" s="67" t="inlineStr">
        <is>
          <t>—</t>
        </is>
      </c>
      <c r="O80" s="67" t="inlineStr">
        <is>
          <t>Decisão adiada para a Parte D. | SupportsAC3 retorna 1 no FW1814 (slot 0xaa8 -&gt; 0xc318); so Ozonic e NRV10 retornam 0. Recomendacao de "habilitar" retirada. A2/AUDIT-2026-10-14.md</t>
        </is>
      </c>
      <c r="P80" s="69">
        <f>LEFT(A80,FIND(".",A80&amp;".")-1)</f>
        <v/>
      </c>
    </row>
    <row r="81" ht="22.35" customHeight="1" s="21">
      <c r="A81" s="65" t="inlineStr">
        <is>
          <t>A2-P11.1</t>
        </is>
      </c>
      <c r="B81" s="66" t="inlineStr">
        <is>
          <t>A2</t>
        </is>
      </c>
      <c r="C81" s="67" t="inlineStr">
        <is>
          <t>Diálogo de fonte HP A/B</t>
        </is>
      </c>
      <c r="D81" s="67" t="inlineStr">
        <is>
          <t>Rótulos e seleção da fonte do fone (3 valores).</t>
        </is>
      </c>
      <c r="E81" s="66" t="inlineStr">
        <is>
          <t>Sim</t>
        </is>
      </c>
      <c r="F81" s="66" t="inlineStr">
        <is>
          <t>Não</t>
        </is>
      </c>
      <c r="G81" s="66" t="inlineStr">
        <is>
          <t>otool</t>
        </is>
      </c>
      <c r="H81" s="66" t="inlineStr">
        <is>
          <t>Não</t>
        </is>
      </c>
      <c r="I81" s="67" t="inlineStr">
        <is>
          <t>Ghidra; recurso STR# 1020; Rust (HeadphoneSource com 3 valores)</t>
        </is>
      </c>
      <c r="J81" s="66">
        <f>IF(TRIM(I81)="",0,LEN(I81)-LEN(SUBSTITUTE(I81,";",""))+1)</f>
        <v/>
      </c>
      <c r="K81" s="67" t="inlineStr">
        <is>
          <t>Corrigido 2026-10-14</t>
        </is>
      </c>
      <c r="L81" s="68">
        <f>ROUND(IF(H81="Sim",MIN(Legenda!$C$12,MIN(10,IF(E81="Sim",Legenda!$C$4,IF(E81="Parcial",Legenda!$C$5,0))+IF(F81="Sim",Legenda!$C$6,IF(F81="Parcial",Legenda!$C$7,0))+IF(G81="otool + Ghidra",Legenda!$C$8,IF(OR(G81="otool",G81="Ghidra",G81="Outro binário"),Legenda!$C$9,0))+MIN(Legenda!$C$11,MAX(0,J81-1)*Legenda!$C$10))),IF(H81="Parcial",MIN(Legenda!$C$13,MIN(10,IF(E81="Sim",Legenda!$C$4,IF(E81="Parcial",Legenda!$C$5,0))+IF(F81="Sim",Legenda!$C$6,IF(F81="Parcial",Legenda!$C$7,0))+IF(G81="otool + Ghidra",Legenda!$C$8,IF(OR(G81="otool",G81="Ghidra",G81="Outro binário"),Legenda!$C$9,0))+MIN(Legenda!$C$11,MAX(0,J81-1)*Legenda!$C$10))),MIN(10,IF(E81="Sim",Legenda!$C$4,IF(E81="Parcial",Legenda!$C$5,0))+IF(F81="Sim",Legenda!$C$6,IF(F81="Parcial",Legenda!$C$7,0))+IF(G81="otool + Ghidra",Legenda!$C$8,IF(OR(G81="otool",G81="Ghidra",G81="Outro binário"),Legenda!$C$9,0))+MIN(Legenda!$C$11,MAX(0,J81-1)*Legenda!$C$10)))),1)</f>
        <v/>
      </c>
      <c r="M81" s="67" t="inlineStr">
        <is>
          <t>A2-panel/P11-hpab-source-dialog.md; B2a</t>
        </is>
      </c>
      <c r="N81" s="67" t="inlineStr">
        <is>
          <t>—</t>
        </is>
      </c>
      <c r="O81" s="67" t="inlineStr">
        <is>
          <t>IDs de recurso, mensagens (0x384/0x385/0x3f5/0x601/0x609) e cookies verificados no asm; §3.3 (48000 no kext) refutado: 192000 vem do CX1814Device do proprio painel. R18/R19</t>
        </is>
      </c>
      <c r="P81" s="69">
        <f>LEFT(A81,FIND(".",A81&amp;".")-1)</f>
        <v/>
      </c>
    </row>
    <row r="82" ht="32.8" customHeight="1" s="21">
      <c r="A82" s="65" t="inlineStr">
        <is>
          <t>A2-ClockUI.1</t>
        </is>
      </c>
      <c r="B82" s="66" t="inlineStr">
        <is>
          <t>A2</t>
        </is>
      </c>
      <c r="C82" s="67" t="inlineStr">
        <is>
          <t>Widgets → bits do MAClockSource</t>
        </is>
      </c>
      <c r="D82" s="67" t="inlineStr">
        <is>
          <t>ChangeDigitalSourceAttribute @0x71fea faz RMW: bit 2 porta S/PDIF (1 = coax), 3 opt-IN ADAT, 4 opt-OUT ADAT, 5 S/MUX, [1:0] sync, 30 gate.</t>
        </is>
      </c>
      <c r="E82" s="66" t="inlineStr">
        <is>
          <t>Parcial</t>
        </is>
      </c>
      <c r="F82" s="66" t="inlineStr">
        <is>
          <t>Sim</t>
        </is>
      </c>
      <c r="G82" s="66" t="inlineStr">
        <is>
          <t>Ghidra</t>
        </is>
      </c>
      <c r="H82" s="66" t="inlineStr">
        <is>
          <t>Não</t>
        </is>
      </c>
      <c r="I82" s="67" t="inlineStr">
        <is>
          <t>Ghidra (painel v1.5.2); capturas B5 66/68/69 (v1.9); asm do kext</t>
        </is>
      </c>
      <c r="J82" s="66">
        <f>IF(TRIM(I82)="",0,LEN(I82)-LEN(SUBSTITUTE(I82,";",""))+1)</f>
        <v/>
      </c>
      <c r="K82" s="67" t="inlineStr">
        <is>
          <t>Corrigido 2026-10-14</t>
        </is>
      </c>
      <c r="L82" s="68">
        <f>ROUND(IF(H82="Sim",MIN(Legenda!$C$12,MIN(10,IF(E82="Sim",Legenda!$C$4,IF(E82="Parcial",Legenda!$C$5,0))+IF(F82="Sim",Legenda!$C$6,IF(F82="Parcial",Legenda!$C$7,0))+IF(G82="otool + Ghidra",Legenda!$C$8,IF(OR(G82="otool",G82="Ghidra",G82="Outro binário"),Legenda!$C$9,0))+MIN(Legenda!$C$11,MAX(0,J82-1)*Legenda!$C$10))),IF(H82="Parcial",MIN(Legenda!$C$13,MIN(10,IF(E82="Sim",Legenda!$C$4,IF(E82="Parcial",Legenda!$C$5,0))+IF(F82="Sim",Legenda!$C$6,IF(F82="Parcial",Legenda!$C$7,0))+IF(G82="otool + Ghidra",Legenda!$C$8,IF(OR(G82="otool",G82="Ghidra",G82="Outro binário"),Legenda!$C$9,0))+MIN(Legenda!$C$11,MAX(0,J82-1)*Legenda!$C$10))),MIN(10,IF(E82="Sim",Legenda!$C$4,IF(E82="Parcial",Legenda!$C$5,0))+IF(F82="Sim",Legenda!$C$6,IF(F82="Parcial",Legenda!$C$7,0))+IF(G82="otool + Ghidra",Legenda!$C$8,IF(OR(G82="otool",G82="Ghidra",G82="Outro binário"),Legenda!$C$9,0))+MIN(Legenda!$C$11,MAX(0,J82-1)*Legenda!$C$10)))),1)</f>
        <v/>
      </c>
      <c r="M82" s="67" t="inlineStr">
        <is>
          <t>A2-panel/P-ClockUI-encoding.md</t>
        </is>
      </c>
      <c r="N82" s="67" t="inlineStr">
        <is>
          <t>P-ClockUI:48</t>
        </is>
      </c>
      <c r="O82" s="67" t="inlineStr">
        <is>
          <t>Valores dos botões de sync no v1.5.2 não verificados; consumidor do bit 2 no kext desconhecido; cookie 0x5ff sem máscara conhecida.</t>
        </is>
      </c>
      <c r="P82" s="69">
        <f>LEFT(A82,FIND(".",A82&amp;".")-1)</f>
        <v/>
      </c>
    </row>
    <row r="83" ht="22.35" customHeight="1" s="21">
      <c r="A83" s="65" t="inlineStr">
        <is>
          <t>A2-XCHK.1</t>
        </is>
      </c>
      <c r="B83" s="66" t="inlineStr">
        <is>
          <t>A2</t>
        </is>
      </c>
      <c r="C83" s="67" t="inlineStr">
        <is>
          <t>Cruzamento com o manual</t>
        </is>
      </c>
      <c r="D83" s="67" t="inlineStr">
        <is>
          <t>12 inconsistências da Parte A resolvidas contra o manual (ex.: polaridade do gating S/MUX invertida em P5).</t>
        </is>
      </c>
      <c r="E83" s="66" t="inlineStr">
        <is>
          <t>Parcial</t>
        </is>
      </c>
      <c r="F83" s="66" t="inlineStr">
        <is>
          <t>Sim</t>
        </is>
      </c>
      <c r="G83" s="66" t="inlineStr">
        <is>
          <t>Ghidra</t>
        </is>
      </c>
      <c r="H83" s="66" t="inlineStr">
        <is>
          <t>Não</t>
        </is>
      </c>
      <c r="I83" s="67" t="inlineStr">
        <is>
          <t>a2-manual-crosscheck.log; manual.pdf; capturas B5</t>
        </is>
      </c>
      <c r="J83" s="66">
        <f>IF(TRIM(I83)="",0,LEN(I83)-LEN(SUBSTITUTE(I83,";",""))+1)</f>
        <v/>
      </c>
      <c r="K83" s="67" t="inlineStr">
        <is>
          <t>Consistente</t>
        </is>
      </c>
      <c r="L83" s="68">
        <f>ROUND(IF(H83="Sim",MIN(Legenda!$C$12,MIN(10,IF(E83="Sim",Legenda!$C$4,IF(E83="Parcial",Legenda!$C$5,0))+IF(F83="Sim",Legenda!$C$6,IF(F83="Parcial",Legenda!$C$7,0))+IF(G83="otool + Ghidra",Legenda!$C$8,IF(OR(G83="otool",G83="Ghidra",G83="Outro binário"),Legenda!$C$9,0))+MIN(Legenda!$C$11,MAX(0,J83-1)*Legenda!$C$10))),IF(H83="Parcial",MIN(Legenda!$C$13,MIN(10,IF(E83="Sim",Legenda!$C$4,IF(E83="Parcial",Legenda!$C$5,0))+IF(F83="Sim",Legenda!$C$6,IF(F83="Parcial",Legenda!$C$7,0))+IF(G83="otool + Ghidra",Legenda!$C$8,IF(OR(G83="otool",G83="Ghidra",G83="Outro binário"),Legenda!$C$9,0))+MIN(Legenda!$C$11,MAX(0,J83-1)*Legenda!$C$10))),MIN(10,IF(E83="Sim",Legenda!$C$4,IF(E83="Parcial",Legenda!$C$5,0))+IF(F83="Sim",Legenda!$C$6,IF(F83="Parcial",Legenda!$C$7,0))+IF(G83="otool + Ghidra",Legenda!$C$8,IF(OR(G83="otool",G83="Ghidra",G83="Outro binário"),Legenda!$C$9,0))+MIN(Legenda!$C$11,MAX(0,J83-1)*Legenda!$C$10)))),1)</f>
        <v/>
      </c>
      <c r="M83" s="67" t="inlineStr">
        <is>
          <t>A2-panel/P-manual-crosscheck.md</t>
        </is>
      </c>
      <c r="N83" s="67" t="inlineStr">
        <is>
          <t>—</t>
        </is>
      </c>
      <c r="O83" s="67" t="inlineStr">
        <is>
          <t>—</t>
        </is>
      </c>
      <c r="P83" s="69">
        <f>LEFT(A83,FIND(".",A83&amp;".")-1)</f>
        <v/>
      </c>
    </row>
    <row r="84" ht="32.8" customHeight="1" s="21">
      <c r="A84" s="65" t="inlineStr">
        <is>
          <t>A3-M1.1</t>
        </is>
      </c>
      <c r="B84" s="66" t="inlineStr">
        <is>
          <t>A3</t>
        </is>
      </c>
      <c r="C84" s="67" t="inlineStr">
        <is>
          <t>Fábrica CoreMIDI</t>
        </is>
      </c>
      <c r="D84" s="67" t="inlineStr">
        <is>
          <t>NewFW410MIDIDriver → MIDIDriverInterface → glue → MAFWMIDIFactoryBeBoB; exports _MAFireWireMIDIDICE_* são o caminho real (não código morto).</t>
        </is>
      </c>
      <c r="E84" s="66" t="inlineStr">
        <is>
          <t>Sim</t>
        </is>
      </c>
      <c r="F84" s="66" t="inlineStr">
        <is>
          <t>Não</t>
        </is>
      </c>
      <c r="G84" s="66" t="inlineStr">
        <is>
          <t>otool</t>
        </is>
      </c>
      <c r="H84" s="66" t="inlineStr">
        <is>
          <t>Não</t>
        </is>
      </c>
      <c r="I84" s="67" t="inlineStr">
        <is>
          <t>Ghidra (plugin MIDI)</t>
        </is>
      </c>
      <c r="J84" s="66">
        <f>IF(TRIM(I84)="",0,LEN(I84)-LEN(SUBSTITUTE(I84,";",""))+1)</f>
        <v/>
      </c>
      <c r="K84" s="67" t="inlineStr">
        <is>
          <t>Corrigido 2026-10-14</t>
        </is>
      </c>
      <c r="L84" s="68">
        <f>ROUND(IF(H84="Sim",MIN(Legenda!$C$12,MIN(10,IF(E84="Sim",Legenda!$C$4,IF(E84="Parcial",Legenda!$C$5,0))+IF(F84="Sim",Legenda!$C$6,IF(F84="Parcial",Legenda!$C$7,0))+IF(G84="otool + Ghidra",Legenda!$C$8,IF(OR(G84="otool",G84="Ghidra",G84="Outro binário"),Legenda!$C$9,0))+MIN(Legenda!$C$11,MAX(0,J84-1)*Legenda!$C$10))),IF(H84="Parcial",MIN(Legenda!$C$13,MIN(10,IF(E84="Sim",Legenda!$C$4,IF(E84="Parcial",Legenda!$C$5,0))+IF(F84="Sim",Legenda!$C$6,IF(F84="Parcial",Legenda!$C$7,0))+IF(G84="otool + Ghidra",Legenda!$C$8,IF(OR(G84="otool",G84="Ghidra",G84="Outro binário"),Legenda!$C$9,0))+MIN(Legenda!$C$11,MAX(0,J84-1)*Legenda!$C$10))),MIN(10,IF(E84="Sim",Legenda!$C$4,IF(E84="Parcial",Legenda!$C$5,0))+IF(F84="Sim",Legenda!$C$6,IF(F84="Parcial",Legenda!$C$7,0))+IF(G84="otool + Ghidra",Legenda!$C$8,IF(OR(G84="otool",G84="Ghidra",G84="Outro binário"),Legenda!$C$9,0))+MIN(Legenda!$C$11,MAX(0,J84-1)*Legenda!$C$10)))),1)</f>
        <v/>
      </c>
      <c r="M84" s="67" t="inlineStr">
        <is>
          <t>A3-midi/M1-factory-and-driver-interface.md</t>
        </is>
      </c>
      <c r="N84" s="67" t="inlineStr">
        <is>
          <t>—</t>
        </is>
      </c>
      <c r="O84" s="67" t="inlineStr">
        <is>
          <t>Auditado no slice x86_64 (UUIDs, new(0x20)+8, ctor, QueryInterface). A3/AUDIT-2026-10-14.md</t>
        </is>
      </c>
      <c r="P84" s="69">
        <f>LEFT(A84,FIND(".",A84&amp;".")-1)</f>
        <v/>
      </c>
    </row>
    <row r="85" ht="22.35" customHeight="1" s="21">
      <c r="A85" s="65" t="inlineStr">
        <is>
          <t>A3-M2.1</t>
        </is>
      </c>
      <c r="B85" s="66" t="inlineStr">
        <is>
          <t>A3</t>
        </is>
      </c>
      <c r="C85" s="67" t="inlineStr">
        <is>
          <t>Descoberta MIDI</t>
        </is>
      </c>
      <c r="D85" s="67" t="inlineStr">
        <is>
          <t>Match em com_m_audio_FW1814Device; MIDIDevice persistido por GUID; UC type=0.</t>
        </is>
      </c>
      <c r="E85" s="66" t="inlineStr">
        <is>
          <t>Sim</t>
        </is>
      </c>
      <c r="F85" s="66" t="inlineStr">
        <is>
          <t>Sim</t>
        </is>
      </c>
      <c r="G85" s="66" t="inlineStr">
        <is>
          <t>otool</t>
        </is>
      </c>
      <c r="H85" s="66" t="inlineStr">
        <is>
          <t>Não</t>
        </is>
      </c>
      <c r="I85" s="67" t="inlineStr">
        <is>
          <t>Ghidra; ioreg B5 (2× MIDIServer no FWUserClient, v1.9)</t>
        </is>
      </c>
      <c r="J85" s="66">
        <f>IF(TRIM(I85)="",0,LEN(I85)-LEN(SUBSTITUTE(I85,";",""))+1)</f>
        <v/>
      </c>
      <c r="K85" s="67" t="inlineStr">
        <is>
          <t>Corrigido 2026-10-14</t>
        </is>
      </c>
      <c r="L85" s="68">
        <f>ROUND(IF(H85="Sim",MIN(Legenda!$C$12,MIN(10,IF(E85="Sim",Legenda!$C$4,IF(E85="Parcial",Legenda!$C$5,0))+IF(F85="Sim",Legenda!$C$6,IF(F85="Parcial",Legenda!$C$7,0))+IF(G85="otool + Ghidra",Legenda!$C$8,IF(OR(G85="otool",G85="Ghidra",G85="Outro binário"),Legenda!$C$9,0))+MIN(Legenda!$C$11,MAX(0,J85-1)*Legenda!$C$10))),IF(H85="Parcial",MIN(Legenda!$C$13,MIN(10,IF(E85="Sim",Legenda!$C$4,IF(E85="Parcial",Legenda!$C$5,0))+IF(F85="Sim",Legenda!$C$6,IF(F85="Parcial",Legenda!$C$7,0))+IF(G85="otool + Ghidra",Legenda!$C$8,IF(OR(G85="otool",G85="Ghidra",G85="Outro binário"),Legenda!$C$9,0))+MIN(Legenda!$C$11,MAX(0,J85-1)*Legenda!$C$10))),MIN(10,IF(E85="Sim",Legenda!$C$4,IF(E85="Parcial",Legenda!$C$5,0))+IF(F85="Sim",Legenda!$C$6,IF(F85="Parcial",Legenda!$C$7,0))+IF(G85="otool + Ghidra",Legenda!$C$8,IF(OR(G85="otool",G85="Ghidra",G85="Outro binário"),Legenda!$C$9,0))+MIN(Legenda!$C$11,MAX(0,J85-1)*Legenda!$C$10)))),1)</f>
        <v/>
      </c>
      <c r="M85" s="67" t="inlineStr">
        <is>
          <t>A3-midi/M2-device-discovery.md</t>
        </is>
      </c>
      <c r="N85" s="67" t="inlineStr">
        <is>
          <t>—</t>
        </is>
      </c>
      <c r="O85" s="67" t="inlineStr">
        <is>
          <t>Constantes verificadas; SL ioreg: MAMIDIInput/OutputPorts = ("1") (1 in/1 out), nao In1/In2. A3/AUDIT-2026-10-14.md</t>
        </is>
      </c>
      <c r="P85" s="69">
        <f>LEFT(A85,FIND(".",A85&amp;".")-1)</f>
        <v/>
      </c>
    </row>
    <row r="86" ht="22.35" customHeight="1" s="21">
      <c r="A86" s="65" t="inlineStr">
        <is>
          <t>A3-M4.1</t>
        </is>
      </c>
      <c r="B86" s="66" t="inlineStr">
        <is>
          <t>A3</t>
        </is>
      </c>
      <c r="C86" s="67" t="inlineStr">
        <is>
          <t>Layout dos anéis MIDI</t>
        </is>
      </c>
      <c r="D86" s="67" t="inlineStr">
        <is>
          <t>Um mapeamento por porta: dois anéis de 128 entradas de DigiFWMIDIPacket (16 bytes) + fluxo de bytes.</t>
        </is>
      </c>
      <c r="E86" s="66" t="inlineStr">
        <is>
          <t>Sim</t>
        </is>
      </c>
      <c r="F86" s="66" t="inlineStr">
        <is>
          <t>Não</t>
        </is>
      </c>
      <c r="G86" s="66" t="inlineStr">
        <is>
          <t>otool</t>
        </is>
      </c>
      <c r="H86" s="66" t="inlineStr">
        <is>
          <t>Não</t>
        </is>
      </c>
      <c r="I86" s="67" t="inlineStr">
        <is>
          <t>Ghidra; kext clientMemoryForType</t>
        </is>
      </c>
      <c r="J86" s="66">
        <f>IF(TRIM(I86)="",0,LEN(I86)-LEN(SUBSTITUTE(I86,";",""))+1)</f>
        <v/>
      </c>
      <c r="K86" s="67" t="inlineStr">
        <is>
          <t>Corrigido 2026-10-14</t>
        </is>
      </c>
      <c r="L86" s="68">
        <f>ROUND(IF(H86="Sim",MIN(Legenda!$C$12,MIN(10,IF(E86="Sim",Legenda!$C$4,IF(E86="Parcial",Legenda!$C$5,0))+IF(F86="Sim",Legenda!$C$6,IF(F86="Parcial",Legenda!$C$7,0))+IF(G86="otool + Ghidra",Legenda!$C$8,IF(OR(G86="otool",G86="Ghidra",G86="Outro binário"),Legenda!$C$9,0))+MIN(Legenda!$C$11,MAX(0,J86-1)*Legenda!$C$10))),IF(H86="Parcial",MIN(Legenda!$C$13,MIN(10,IF(E86="Sim",Legenda!$C$4,IF(E86="Parcial",Legenda!$C$5,0))+IF(F86="Sim",Legenda!$C$6,IF(F86="Parcial",Legenda!$C$7,0))+IF(G86="otool + Ghidra",Legenda!$C$8,IF(OR(G86="otool",G86="Ghidra",G86="Outro binário"),Legenda!$C$9,0))+MIN(Legenda!$C$11,MAX(0,J86-1)*Legenda!$C$10))),MIN(10,IF(E86="Sim",Legenda!$C$4,IF(E86="Parcial",Legenda!$C$5,0))+IF(F86="Sim",Legenda!$C$6,IF(F86="Parcial",Legenda!$C$7,0))+IF(G86="otool + Ghidra",Legenda!$C$8,IF(OR(G86="otool",G86="Ghidra",G86="Outro binário"),Legenda!$C$9,0))+MIN(Legenda!$C$11,MAX(0,J86-1)*Legenda!$C$10)))),1)</f>
        <v/>
      </c>
      <c r="M86" s="67" t="inlineStr">
        <is>
          <t>A3-midi/M4-wire-packet-layout.md</t>
        </is>
      </c>
      <c r="N86" s="67" t="inlineStr">
        <is>
          <t>A3-M4:23,42; C3:194; C5:269</t>
        </is>
      </c>
      <c r="O86" s="67" t="inlineStr">
        <is>
          <t>Offset do anel com timestamp (+0x000 vs +0x010) ambíguo. [2026-10-14] Bloco Correction inserido; resta verificação (ver Flags_auditoria / aba Painel). | Resolvido: anel com timestamp em +0x000, realtime em +0x808 (TKernelMIDIPort::Init 0x1e64a); 0x10 era indice de campo. Tipos 0x400+n (entrada, RO) / 0x800+n (saida, RW). Conteudo do slot de 16 B nao re-derivado no kext. R11</t>
        </is>
      </c>
      <c r="P86" s="69">
        <f>LEFT(A86,FIND(".",A86&amp;".")-1)</f>
        <v/>
      </c>
    </row>
    <row r="87" ht="22.35" customHeight="1" s="21">
      <c r="A87" s="65" t="inlineStr">
        <is>
          <t>A3-M5.1</t>
        </is>
      </c>
      <c r="B87" s="66" t="inlineStr">
        <is>
          <t>A3</t>
        </is>
      </c>
      <c r="C87" s="67" t="inlineStr">
        <is>
          <t>TX MIDI</t>
        </is>
      </c>
      <c r="D87" s="67" t="inlineStr">
        <is>
          <t>Seletores 500/501 start/stop (ScalarIScalarO); envio pelo anel 0x800 em blocos ≤3 bytes; seletor 503 não usado.</t>
        </is>
      </c>
      <c r="E87" s="66" t="inlineStr">
        <is>
          <t>Parcial</t>
        </is>
      </c>
      <c r="F87" s="66" t="inlineStr">
        <is>
          <t>Não</t>
        </is>
      </c>
      <c r="G87" s="66" t="inlineStr">
        <is>
          <t>Ghidra</t>
        </is>
      </c>
      <c r="H87" s="66" t="inlineStr">
        <is>
          <t>Não</t>
        </is>
      </c>
      <c r="I87" s="67" t="inlineStr">
        <is>
          <t>Ghidra; tabela sMethods do kext</t>
        </is>
      </c>
      <c r="J87" s="66">
        <f>IF(TRIM(I87)="",0,LEN(I87)-LEN(SUBSTITUTE(I87,";",""))+1)</f>
        <v/>
      </c>
      <c r="K87" s="67" t="inlineStr">
        <is>
          <t>Consistente</t>
        </is>
      </c>
      <c r="L87" s="68">
        <f>ROUND(IF(H87="Sim",MIN(Legenda!$C$12,MIN(10,IF(E87="Sim",Legenda!$C$4,IF(E87="Parcial",Legenda!$C$5,0))+IF(F87="Sim",Legenda!$C$6,IF(F87="Parcial",Legenda!$C$7,0))+IF(G87="otool + Ghidra",Legenda!$C$8,IF(OR(G87="otool",G87="Ghidra",G87="Outro binário"),Legenda!$C$9,0))+MIN(Legenda!$C$11,MAX(0,J87-1)*Legenda!$C$10))),IF(H87="Parcial",MIN(Legenda!$C$13,MIN(10,IF(E87="Sim",Legenda!$C$4,IF(E87="Parcial",Legenda!$C$5,0))+IF(F87="Sim",Legenda!$C$6,IF(F87="Parcial",Legenda!$C$7,0))+IF(G87="otool + Ghidra",Legenda!$C$8,IF(OR(G87="otool",G87="Ghidra",G87="Outro binário"),Legenda!$C$9,0))+MIN(Legenda!$C$11,MAX(0,J87-1)*Legenda!$C$10))),MIN(10,IF(E87="Sim",Legenda!$C$4,IF(E87="Parcial",Legenda!$C$5,0))+IF(F87="Sim",Legenda!$C$6,IF(F87="Parcial",Legenda!$C$7,0))+IF(G87="otool + Ghidra",Legenda!$C$8,IF(OR(G87="otool",G87="Ghidra",G87="Outro binário"),Legenda!$C$9,0))+MIN(Legenda!$C$11,MAX(0,J87-1)*Legenda!$C$10)))),1)</f>
        <v/>
      </c>
      <c r="M87" s="67" t="inlineStr">
        <is>
          <t>A3-midi/M5-tx-path.md; A3-midi/README §Q-MIDI-WIRE</t>
        </is>
      </c>
      <c r="N87" s="67" t="inlineStr">
        <is>
          <t>—</t>
        </is>
      </c>
      <c r="O87" s="67" t="inlineStr">
        <is>
          <t>Quem usa o seletor 503: desconhecido.</t>
        </is>
      </c>
      <c r="P87" s="69">
        <f>LEFT(A87,FIND(".",A87&amp;".")-1)</f>
        <v/>
      </c>
    </row>
    <row r="88" ht="22.35" customHeight="1" s="21">
      <c r="A88" s="65" t="inlineStr">
        <is>
          <t>A3-M6.1</t>
        </is>
      </c>
      <c r="B88" s="66" t="inlineStr">
        <is>
          <t>A3</t>
        </is>
      </c>
      <c r="C88" s="67" t="inlineStr">
        <is>
          <t>RX MIDI</t>
        </is>
      </c>
      <c r="D88" s="67" t="inlineStr">
        <is>
          <t>Polling a 1500 Hz (666 µs) por endpoint; sem porta assíncrona (a porta tipo 1 do kext não é usada).</t>
        </is>
      </c>
      <c r="E88" s="66" t="inlineStr">
        <is>
          <t>Parcial</t>
        </is>
      </c>
      <c r="F88" s="66" t="inlineStr">
        <is>
          <t>Não</t>
        </is>
      </c>
      <c r="G88" s="66" t="inlineStr">
        <is>
          <t>Ghidra</t>
        </is>
      </c>
      <c r="H88" s="66" t="inlineStr">
        <is>
          <t>Não</t>
        </is>
      </c>
      <c r="I88" s="67" t="inlineStr">
        <is>
          <t>Ghidra; kext Q-UC §4</t>
        </is>
      </c>
      <c r="J88" s="66">
        <f>IF(TRIM(I88)="",0,LEN(I88)-LEN(SUBSTITUTE(I88,";",""))+1)</f>
        <v/>
      </c>
      <c r="K88" s="67" t="inlineStr">
        <is>
          <t>Consistente</t>
        </is>
      </c>
      <c r="L88" s="68">
        <f>ROUND(IF(H88="Sim",MIN(Legenda!$C$12,MIN(10,IF(E88="Sim",Legenda!$C$4,IF(E88="Parcial",Legenda!$C$5,0))+IF(F88="Sim",Legenda!$C$6,IF(F88="Parcial",Legenda!$C$7,0))+IF(G88="otool + Ghidra",Legenda!$C$8,IF(OR(G88="otool",G88="Ghidra",G88="Outro binário"),Legenda!$C$9,0))+MIN(Legenda!$C$11,MAX(0,J88-1)*Legenda!$C$10))),IF(H88="Parcial",MIN(Legenda!$C$13,MIN(10,IF(E88="Sim",Legenda!$C$4,IF(E88="Parcial",Legenda!$C$5,0))+IF(F88="Sim",Legenda!$C$6,IF(F88="Parcial",Legenda!$C$7,0))+IF(G88="otool + Ghidra",Legenda!$C$8,IF(OR(G88="otool",G88="Ghidra",G88="Outro binário"),Legenda!$C$9,0))+MIN(Legenda!$C$11,MAX(0,J88-1)*Legenda!$C$10))),MIN(10,IF(E88="Sim",Legenda!$C$4,IF(E88="Parcial",Legenda!$C$5,0))+IF(F88="Sim",Legenda!$C$6,IF(F88="Parcial",Legenda!$C$7,0))+IF(G88="otool + Ghidra",Legenda!$C$8,IF(OR(G88="otool",G88="Ghidra",G88="Outro binário"),Legenda!$C$9,0))+MIN(Legenda!$C$11,MAX(0,J88-1)*Legenda!$C$10)))),1)</f>
        <v/>
      </c>
      <c r="M88" s="67" t="inlineStr">
        <is>
          <t>A3-midi/M6-rx-path.md</t>
        </is>
      </c>
      <c r="N88" s="67" t="inlineStr">
        <is>
          <t>—</t>
        </is>
      </c>
      <c r="O88" s="67" t="inlineStr">
        <is>
          <t>—</t>
        </is>
      </c>
      <c r="P88" s="69">
        <f>LEFT(A88,FIND(".",A88&amp;".")-1)</f>
        <v/>
      </c>
    </row>
    <row r="89" ht="22.35" customHeight="1" s="21">
      <c r="A89" s="65" t="inlineStr">
        <is>
          <t>A3-M7.1</t>
        </is>
      </c>
      <c r="B89" s="66" t="inlineStr">
        <is>
          <t>A3</t>
        </is>
      </c>
      <c r="C89" s="67" t="inlineStr">
        <is>
          <t>Modelo de endpoints</t>
        </is>
      </c>
      <c r="D89" s="67" t="inlineStr">
        <is>
          <t>Uma entidade por dispositivo; contagens de MAMIDIInputPorts/OutputPorts; mapeia 0x400|idx e 0x800|idx.</t>
        </is>
      </c>
      <c r="E89" s="66" t="inlineStr">
        <is>
          <t>Parcial</t>
        </is>
      </c>
      <c r="F89" s="66" t="inlineStr">
        <is>
          <t>Não</t>
        </is>
      </c>
      <c r="G89" s="66" t="inlineStr">
        <is>
          <t>Ghidra</t>
        </is>
      </c>
      <c r="H89" s="66" t="inlineStr">
        <is>
          <t>Não</t>
        </is>
      </c>
      <c r="I89" s="67" t="inlineStr">
        <is>
          <t>Ghidra; kext 0x7220</t>
        </is>
      </c>
      <c r="J89" s="66">
        <f>IF(TRIM(I89)="",0,LEN(I89)-LEN(SUBSTITUTE(I89,";",""))+1)</f>
        <v/>
      </c>
      <c r="K89" s="67" t="inlineStr">
        <is>
          <t>Consistente</t>
        </is>
      </c>
      <c r="L89" s="68">
        <f>ROUND(IF(H89="Sim",MIN(Legenda!$C$12,MIN(10,IF(E89="Sim",Legenda!$C$4,IF(E89="Parcial",Legenda!$C$5,0))+IF(F89="Sim",Legenda!$C$6,IF(F89="Parcial",Legenda!$C$7,0))+IF(G89="otool + Ghidra",Legenda!$C$8,IF(OR(G89="otool",G89="Ghidra",G89="Outro binário"),Legenda!$C$9,0))+MIN(Legenda!$C$11,MAX(0,J89-1)*Legenda!$C$10))),IF(H89="Parcial",MIN(Legenda!$C$13,MIN(10,IF(E89="Sim",Legenda!$C$4,IF(E89="Parcial",Legenda!$C$5,0))+IF(F89="Sim",Legenda!$C$6,IF(F89="Parcial",Legenda!$C$7,0))+IF(G89="otool + Ghidra",Legenda!$C$8,IF(OR(G89="otool",G89="Ghidra",G89="Outro binário"),Legenda!$C$9,0))+MIN(Legenda!$C$11,MAX(0,J89-1)*Legenda!$C$10))),MIN(10,IF(E89="Sim",Legenda!$C$4,IF(E89="Parcial",Legenda!$C$5,0))+IF(F89="Sim",Legenda!$C$6,IF(F89="Parcial",Legenda!$C$7,0))+IF(G89="otool + Ghidra",Legenda!$C$8,IF(OR(G89="otool",G89="Ghidra",G89="Outro binário"),Legenda!$C$9,0))+MIN(Legenda!$C$11,MAX(0,J89-1)*Legenda!$C$10)))),1)</f>
        <v/>
      </c>
      <c r="M89" s="67" t="inlineStr">
        <is>
          <t>A3-midi/M7-endpoint-model.md</t>
        </is>
      </c>
      <c r="N89" s="67" t="inlineStr">
        <is>
          <t>—</t>
        </is>
      </c>
      <c r="O89" s="67" t="inlineStr">
        <is>
          <t>Contagem real de portas do FW1814 não capturada.</t>
        </is>
      </c>
      <c r="P89" s="69">
        <f>LEFT(A89,FIND(".",A89&amp;".")-1)</f>
        <v/>
      </c>
    </row>
    <row r="90" ht="22.35" customHeight="1" s="21">
      <c r="A90" s="65" t="inlineStr">
        <is>
          <t>A3-M8.1</t>
        </is>
      </c>
      <c r="B90" s="66" t="inlineStr">
        <is>
          <t>A3</t>
        </is>
      </c>
      <c r="C90" s="67" t="inlineStr">
        <is>
          <t>SysEx</t>
        </is>
      </c>
      <c r="D90" s="67" t="inlineStr">
        <is>
          <t>RX: sentinela remaining=0xFFFFFF + scratch de 256 bytes → flush 0xF7 sintético; realtime intercala sem quebrar o SysEx.</t>
        </is>
      </c>
      <c r="E90" s="66" t="inlineStr">
        <is>
          <t>Sim</t>
        </is>
      </c>
      <c r="F90" s="66" t="inlineStr">
        <is>
          <t>Não</t>
        </is>
      </c>
      <c r="G90" s="66" t="inlineStr">
        <is>
          <t>otool</t>
        </is>
      </c>
      <c r="H90" s="66" t="inlineStr">
        <is>
          <t>Não</t>
        </is>
      </c>
      <c r="I90" s="67" t="inlineStr">
        <is>
          <t>Ghidra</t>
        </is>
      </c>
      <c r="J90" s="66">
        <f>IF(TRIM(I90)="",0,LEN(I90)-LEN(SUBSTITUTE(I90,";",""))+1)</f>
        <v/>
      </c>
      <c r="K90" s="67" t="inlineStr">
        <is>
          <t>Corrigido 2026-10-14</t>
        </is>
      </c>
      <c r="L90" s="68">
        <f>ROUND(IF(H90="Sim",MIN(Legenda!$C$12,MIN(10,IF(E90="Sim",Legenda!$C$4,IF(E90="Parcial",Legenda!$C$5,0))+IF(F90="Sim",Legenda!$C$6,IF(F90="Parcial",Legenda!$C$7,0))+IF(G90="otool + Ghidra",Legenda!$C$8,IF(OR(G90="otool",G90="Ghidra",G90="Outro binário"),Legenda!$C$9,0))+MIN(Legenda!$C$11,MAX(0,J90-1)*Legenda!$C$10))),IF(H90="Parcial",MIN(Legenda!$C$13,MIN(10,IF(E90="Sim",Legenda!$C$4,IF(E90="Parcial",Legenda!$C$5,0))+IF(F90="Sim",Legenda!$C$6,IF(F90="Parcial",Legenda!$C$7,0))+IF(G90="otool + Ghidra",Legenda!$C$8,IF(OR(G90="otool",G90="Ghidra",G90="Outro binário"),Legenda!$C$9,0))+MIN(Legenda!$C$11,MAX(0,J90-1)*Legenda!$C$10))),MIN(10,IF(E90="Sim",Legenda!$C$4,IF(E90="Parcial",Legenda!$C$5,0))+IF(F90="Sim",Legenda!$C$6,IF(F90="Parcial",Legenda!$C$7,0))+IF(G90="otool + Ghidra",Legenda!$C$8,IF(OR(G90="otool",G90="Ghidra",G90="Outro binário"),Legenda!$C$9,0))+MIN(Legenda!$C$11,MAX(0,J90-1)*Legenda!$C$10)))),1)</f>
        <v/>
      </c>
      <c r="M90" s="67" t="inlineStr">
        <is>
          <t>A3-midi/M8-sysex.md</t>
        </is>
      </c>
      <c r="N90" s="67" t="inlineStr">
        <is>
          <t>—</t>
        </is>
      </c>
      <c r="O90" s="67" t="inlineStr">
        <is>
          <t>Constantes do parser verificadas (0xdd,0x100,0xffffff,+0x21c). Uso de fDestPortInSysex no kext segue hipotese. A3/AUDIT-2026-10-14.md</t>
        </is>
      </c>
      <c r="P90" s="69">
        <f>LEFT(A90,FIND(".",A90&amp;".")-1)</f>
        <v/>
      </c>
    </row>
    <row r="91" ht="15" customHeight="1" s="21">
      <c r="A91" s="65" t="inlineStr">
        <is>
          <t>A3-M9.1</t>
        </is>
      </c>
      <c r="B91" s="66" t="inlineStr">
        <is>
          <t>A3</t>
        </is>
      </c>
      <c r="C91" s="67" t="inlineStr">
        <is>
          <t>Sono / despertar</t>
        </is>
      </c>
      <c r="D91" s="67" t="inlineStr">
        <is>
          <t>IORegisterForSystemPower (0x270/0x280/0x300); dispositivo marcado offline.</t>
        </is>
      </c>
      <c r="E91" s="66" t="inlineStr">
        <is>
          <t>Sim</t>
        </is>
      </c>
      <c r="F91" s="66" t="inlineStr">
        <is>
          <t>Não</t>
        </is>
      </c>
      <c r="G91" s="66" t="inlineStr">
        <is>
          <t>otool</t>
        </is>
      </c>
      <c r="H91" s="66" t="inlineStr">
        <is>
          <t>Não</t>
        </is>
      </c>
      <c r="I91" s="67" t="inlineStr">
        <is>
          <t>Ghidra</t>
        </is>
      </c>
      <c r="J91" s="66">
        <f>IF(TRIM(I91)="",0,LEN(I91)-LEN(SUBSTITUTE(I91,";",""))+1)</f>
        <v/>
      </c>
      <c r="K91" s="67" t="inlineStr">
        <is>
          <t>Corrigido 2026-10-14</t>
        </is>
      </c>
      <c r="L91" s="68">
        <f>ROUND(IF(H91="Sim",MIN(Legenda!$C$12,MIN(10,IF(E91="Sim",Legenda!$C$4,IF(E91="Parcial",Legenda!$C$5,0))+IF(F91="Sim",Legenda!$C$6,IF(F91="Parcial",Legenda!$C$7,0))+IF(G91="otool + Ghidra",Legenda!$C$8,IF(OR(G91="otool",G91="Ghidra",G91="Outro binário"),Legenda!$C$9,0))+MIN(Legenda!$C$11,MAX(0,J91-1)*Legenda!$C$10))),IF(H91="Parcial",MIN(Legenda!$C$13,MIN(10,IF(E91="Sim",Legenda!$C$4,IF(E91="Parcial",Legenda!$C$5,0))+IF(F91="Sim",Legenda!$C$6,IF(F91="Parcial",Legenda!$C$7,0))+IF(G91="otool + Ghidra",Legenda!$C$8,IF(OR(G91="otool",G91="Ghidra",G91="Outro binário"),Legenda!$C$9,0))+MIN(Legenda!$C$11,MAX(0,J91-1)*Legenda!$C$10))),MIN(10,IF(E91="Sim",Legenda!$C$4,IF(E91="Parcial",Legenda!$C$5,0))+IF(F91="Sim",Legenda!$C$6,IF(F91="Parcial",Legenda!$C$7,0))+IF(G91="otool + Ghidra",Legenda!$C$8,IF(OR(G91="otool",G91="Ghidra",G91="Outro binário"),Legenda!$C$9,0))+MIN(Legenda!$C$11,MAX(0,J91-1)*Legenda!$C$10)))),1)</f>
        <v/>
      </c>
      <c r="M91" s="67" t="inlineStr">
        <is>
          <t>A3-midi/M9-power-sleep.md</t>
        </is>
      </c>
      <c r="N91" s="67" t="inlineStr">
        <is>
          <t>—</t>
        </is>
      </c>
      <c r="O91" s="67" t="inlineStr">
        <is>
          <t>Constantes IOMessage verificadas; fabrica chama metodos de CLASSE de MAFWMIDIDeviceBeBoB (hipotese resolvida). A3/AUDIT-2026-10-14.md</t>
        </is>
      </c>
      <c r="P91" s="69">
        <f>LEFT(A91,FIND(".",A91&amp;".")-1)</f>
        <v/>
      </c>
    </row>
    <row r="92" ht="15" customHeight="1" s="21">
      <c r="A92" s="65" t="inlineStr">
        <is>
          <t>A4-H1.1</t>
        </is>
      </c>
      <c r="B92" s="66" t="inlineStr">
        <is>
          <t>A4</t>
        </is>
      </c>
      <c r="C92" s="67" t="inlineStr">
        <is>
          <t>Entrada do helper</t>
        </is>
      </c>
      <c r="D92" s="67" t="inlineStr">
        <is>
          <t>argv só start/stop (ciclo de vida do servidor DO).</t>
        </is>
      </c>
      <c r="E92" s="66" t="inlineStr">
        <is>
          <t>Sim</t>
        </is>
      </c>
      <c r="F92" s="66" t="inlineStr">
        <is>
          <t>Não</t>
        </is>
      </c>
      <c r="G92" s="66" t="inlineStr">
        <is>
          <t>otool</t>
        </is>
      </c>
      <c r="H92" s="66" t="inlineStr">
        <is>
          <t>Não</t>
        </is>
      </c>
      <c r="I92" s="67" t="inlineStr">
        <is>
          <t>Ghidra (helper)</t>
        </is>
      </c>
      <c r="J92" s="66">
        <f>IF(TRIM(I92)="",0,LEN(I92)-LEN(SUBSTITUTE(I92,";",""))+1)</f>
        <v/>
      </c>
      <c r="K92" s="67" t="inlineStr">
        <is>
          <t>Corrigido 2026-10-14</t>
        </is>
      </c>
      <c r="L92" s="68">
        <f>ROUND(IF(H92="Sim",MIN(Legenda!$C$12,MIN(10,IF(E92="Sim",Legenda!$C$4,IF(E92="Parcial",Legenda!$C$5,0))+IF(F92="Sim",Legenda!$C$6,IF(F92="Parcial",Legenda!$C$7,0))+IF(G92="otool + Ghidra",Legenda!$C$8,IF(OR(G92="otool",G92="Ghidra",G92="Outro binário"),Legenda!$C$9,0))+MIN(Legenda!$C$11,MAX(0,J92-1)*Legenda!$C$10))),IF(H92="Parcial",MIN(Legenda!$C$13,MIN(10,IF(E92="Sim",Legenda!$C$4,IF(E92="Parcial",Legenda!$C$5,0))+IF(F92="Sim",Legenda!$C$6,IF(F92="Parcial",Legenda!$C$7,0))+IF(G92="otool + Ghidra",Legenda!$C$8,IF(OR(G92="otool",G92="Ghidra",G92="Outro binário"),Legenda!$C$9,0))+MIN(Legenda!$C$11,MAX(0,J92-1)*Legenda!$C$10))),MIN(10,IF(E92="Sim",Legenda!$C$4,IF(E92="Parcial",Legenda!$C$5,0))+IF(F92="Sim",Legenda!$C$6,IF(F92="Parcial",Legenda!$C$7,0))+IF(G92="otool + Ghidra",Legenda!$C$8,IF(OR(G92="otool",G92="Ghidra",G92="Outro binário"),Legenda!$C$9,0))+MIN(Legenda!$C$11,MAX(0,J92-1)*Legenda!$C$10)))),1)</f>
        <v/>
      </c>
      <c r="M92" s="67" t="inlineStr">
        <is>
          <t>A4-helper/H1-entry-dispatch.md</t>
        </is>
      </c>
      <c r="N92" s="67" t="inlineStr">
        <is>
          <t>—</t>
        </is>
      </c>
      <c r="O92" s="67" t="inlineStr">
        <is>
          <t>Auditado no asm i386 (guarda argc&gt;=2 e servidor, strcmp start/stop). A4/AUDIT-2026-10-14.md</t>
        </is>
      </c>
      <c r="P92" s="69">
        <f>LEFT(A92,FIND(".",A92&amp;".")-1)</f>
        <v/>
      </c>
    </row>
    <row r="93" ht="22.35" customHeight="1" s="21">
      <c r="A93" s="65" t="inlineStr">
        <is>
          <t>A4-H2.1</t>
        </is>
      </c>
      <c r="B93" s="66" t="inlineStr">
        <is>
          <t>A4</t>
        </is>
      </c>
      <c r="C93" s="67" t="inlineStr">
        <is>
          <t>Detecção de bootloader e upload</t>
        </is>
      </c>
      <c r="D93" s="67" t="inlineStr">
        <is>
          <t>Match na classe com_m_audio_FWMetaNub; MAFirmwareHalt → upload por setProperty 'MAFirmwareUpgradeImage' (o protocolo de fio fica no kext).</t>
        </is>
      </c>
      <c r="E93" s="66" t="inlineStr">
        <is>
          <t>Sim</t>
        </is>
      </c>
      <c r="F93" s="66" t="inlineStr">
        <is>
          <t>Não</t>
        </is>
      </c>
      <c r="G93" s="66" t="inlineStr">
        <is>
          <t>otool + Ghidra</t>
        </is>
      </c>
      <c r="H93" s="66" t="inlineStr">
        <is>
          <t>Não</t>
        </is>
      </c>
      <c r="I93" s="67" t="inlineStr">
        <is>
          <t>Ghidra; H3 superado</t>
        </is>
      </c>
      <c r="J93" s="66">
        <f>IF(TRIM(I93)="",0,LEN(I93)-LEN(SUBSTITUTE(I93,";",""))+1)</f>
        <v/>
      </c>
      <c r="K93" s="67" t="inlineStr">
        <is>
          <t>Corrigido 2026-10-14</t>
        </is>
      </c>
      <c r="L93" s="68">
        <f>ROUND(IF(H93="Sim",MIN(Legenda!$C$12,MIN(10,IF(E93="Sim",Legenda!$C$4,IF(E93="Parcial",Legenda!$C$5,0))+IF(F93="Sim",Legenda!$C$6,IF(F93="Parcial",Legenda!$C$7,0))+IF(G93="otool + Ghidra",Legenda!$C$8,IF(OR(G93="otool",G93="Ghidra",G93="Outro binário"),Legenda!$C$9,0))+MIN(Legenda!$C$11,MAX(0,J93-1)*Legenda!$C$10))),IF(H93="Parcial",MIN(Legenda!$C$13,MIN(10,IF(E93="Sim",Legenda!$C$4,IF(E93="Parcial",Legenda!$C$5,0))+IF(F93="Sim",Legenda!$C$6,IF(F93="Parcial",Legenda!$C$7,0))+IF(G93="otool + Ghidra",Legenda!$C$8,IF(OR(G93="otool",G93="Ghidra",G93="Outro binário"),Legenda!$C$9,0))+MIN(Legenda!$C$11,MAX(0,J93-1)*Legenda!$C$10))),MIN(10,IF(E93="Sim",Legenda!$C$4,IF(E93="Parcial",Legenda!$C$5,0))+IF(F93="Sim",Legenda!$C$6,IF(F93="Parcial",Legenda!$C$7,0))+IF(G93="otool + Ghidra",Legenda!$C$8,IF(OR(G93="otool",G93="Ghidra",G93="Outro binário"),Legenda!$C$9,0))+MIN(Legenda!$C$11,MAX(0,J93-1)*Legenda!$C$10)))),1)</f>
        <v/>
      </c>
      <c r="M93" s="67" t="inlineStr">
        <is>
          <t>A4-helper/H2-bootloader-detection.md; H3</t>
        </is>
      </c>
      <c r="N93" s="67" t="inlineStr">
        <is>
          <t>—</t>
        </is>
      </c>
      <c r="O93" s="67" t="inlineStr">
        <is>
          <t>O firmware-helper atual (verificado contra A4) sobrevive à Parte D. | 8 classes lidas por strings; MAFirmwareInfo = 80 B de 0xFFFF:C8020000 (FirmwareCacheInfoRegisters 0x1cc9e); info[0xc]!=0 = bootloader; launch = subcomando do binário de UI. A4/AUDIT-2026-10-14.md</t>
        </is>
      </c>
      <c r="P93" s="69">
        <f>LEFT(A93,FIND(".",A93&amp;".")-1)</f>
        <v/>
      </c>
    </row>
    <row r="94" ht="22.35" customHeight="1" s="21">
      <c r="A94" s="65" t="inlineStr">
        <is>
          <t>A4-H4.1</t>
        </is>
      </c>
      <c r="B94" s="66" t="inlineStr">
        <is>
          <t>A4</t>
        </is>
      </c>
      <c r="C94" s="67" t="inlineStr">
        <is>
          <t>Seleção de firmware</t>
        </is>
      </c>
      <c r="D94" s="67" t="inlineStr">
        <is>
          <t>Remove ' Bootloader' do nome + 2 aliases; FW1814 → Firmware/FW 1814/fw1814.bcd.</t>
        </is>
      </c>
      <c r="E94" s="66" t="inlineStr">
        <is>
          <t>Sim</t>
        </is>
      </c>
      <c r="F94" s="66" t="inlineStr">
        <is>
          <t>Não</t>
        </is>
      </c>
      <c r="G94" s="66" t="inlineStr">
        <is>
          <t>otool + Ghidra</t>
        </is>
      </c>
      <c r="H94" s="66" t="inlineStr">
        <is>
          <t>Não</t>
        </is>
      </c>
      <c r="I94" s="67" t="inlineStr">
        <is>
          <t>Ghidra</t>
        </is>
      </c>
      <c r="J94" s="66">
        <f>IF(TRIM(I94)="",0,LEN(I94)-LEN(SUBSTITUTE(I94,";",""))+1)</f>
        <v/>
      </c>
      <c r="K94" s="67" t="inlineStr">
        <is>
          <t>Corrigido 2026-10-14</t>
        </is>
      </c>
      <c r="L94" s="68">
        <f>ROUND(IF(H94="Sim",MIN(Legenda!$C$12,MIN(10,IF(E94="Sim",Legenda!$C$4,IF(E94="Parcial",Legenda!$C$5,0))+IF(F94="Sim",Legenda!$C$6,IF(F94="Parcial",Legenda!$C$7,0))+IF(G94="otool + Ghidra",Legenda!$C$8,IF(OR(G94="otool",G94="Ghidra",G94="Outro binário"),Legenda!$C$9,0))+MIN(Legenda!$C$11,MAX(0,J94-1)*Legenda!$C$10))),IF(H94="Parcial",MIN(Legenda!$C$13,MIN(10,IF(E94="Sim",Legenda!$C$4,IF(E94="Parcial",Legenda!$C$5,0))+IF(F94="Sim",Legenda!$C$6,IF(F94="Parcial",Legenda!$C$7,0))+IF(G94="otool + Ghidra",Legenda!$C$8,IF(OR(G94="otool",G94="Ghidra",G94="Outro binário"),Legenda!$C$9,0))+MIN(Legenda!$C$11,MAX(0,J94-1)*Legenda!$C$10))),MIN(10,IF(E94="Sim",Legenda!$C$4,IF(E94="Parcial",Legenda!$C$5,0))+IF(F94="Sim",Legenda!$C$6,IF(F94="Parcial",Legenda!$C$7,0))+IF(G94="otool + Ghidra",Legenda!$C$8,IF(OR(G94="otool",G94="Ghidra",G94="Outro binário"),Legenda!$C$9,0))+MIN(Legenda!$C$11,MAX(0,J94-1)*Legenda!$C$10)))),1)</f>
        <v/>
      </c>
      <c r="M94" s="67" t="inlineStr">
        <is>
          <t>A4-helper/H4-firmware-selection.md</t>
        </is>
      </c>
      <c r="N94" s="67" t="inlineStr">
        <is>
          <t>—</t>
        </is>
      </c>
      <c r="O94" s="67" t="inlineStr">
        <is>
          <t>Aliases reais: FW-&gt;"FW 410", FWSolo-&gt;"FW Solo"; datas do .bcd são ASCII; CRC32 confere; validate = comprimento minimo. A4/AUDIT-2026-10-14.md</t>
        </is>
      </c>
      <c r="P94" s="69">
        <f>LEFT(A94,FIND(".",A94&amp;".")-1)</f>
        <v/>
      </c>
    </row>
    <row r="95" ht="15" customHeight="1" s="21">
      <c r="A95" s="65" t="inlineStr">
        <is>
          <t>A4-H5.1</t>
        </is>
      </c>
      <c r="B95" s="66" t="inlineStr">
        <is>
          <t>A4</t>
        </is>
      </c>
      <c r="C95" s="67" t="inlineStr">
        <is>
          <t>IPC da janela de status</t>
        </is>
      </c>
      <c r="D95" s="67" t="inlineStr">
        <is>
          <t>NSConnection Distributed Objects; 3 métodos remotos.</t>
        </is>
      </c>
      <c r="E95" s="66" t="inlineStr">
        <is>
          <t>Sim</t>
        </is>
      </c>
      <c r="F95" s="66" t="inlineStr">
        <is>
          <t>Não</t>
        </is>
      </c>
      <c r="G95" s="66" t="inlineStr">
        <is>
          <t>otool + Ghidra</t>
        </is>
      </c>
      <c r="H95" s="66" t="inlineStr">
        <is>
          <t>Não</t>
        </is>
      </c>
      <c r="I95" s="67" t="inlineStr">
        <is>
          <t>Ghidra</t>
        </is>
      </c>
      <c r="J95" s="66">
        <f>IF(TRIM(I95)="",0,LEN(I95)-LEN(SUBSTITUTE(I95,";",""))+1)</f>
        <v/>
      </c>
      <c r="K95" s="67" t="inlineStr">
        <is>
          <t>Corrigido 2026-10-14</t>
        </is>
      </c>
      <c r="L95" s="68">
        <f>ROUND(IF(H95="Sim",MIN(Legenda!$C$12,MIN(10,IF(E95="Sim",Legenda!$C$4,IF(E95="Parcial",Legenda!$C$5,0))+IF(F95="Sim",Legenda!$C$6,IF(F95="Parcial",Legenda!$C$7,0))+IF(G95="otool + Ghidra",Legenda!$C$8,IF(OR(G95="otool",G95="Ghidra",G95="Outro binário"),Legenda!$C$9,0))+MIN(Legenda!$C$11,MAX(0,J95-1)*Legenda!$C$10))),IF(H95="Parcial",MIN(Legenda!$C$13,MIN(10,IF(E95="Sim",Legenda!$C$4,IF(E95="Parcial",Legenda!$C$5,0))+IF(F95="Sim",Legenda!$C$6,IF(F95="Parcial",Legenda!$C$7,0))+IF(G95="otool + Ghidra",Legenda!$C$8,IF(OR(G95="otool",G95="Ghidra",G95="Outro binário"),Legenda!$C$9,0))+MIN(Legenda!$C$11,MAX(0,J95-1)*Legenda!$C$10))),MIN(10,IF(E95="Sim",Legenda!$C$4,IF(E95="Parcial",Legenda!$C$5,0))+IF(F95="Sim",Legenda!$C$6,IF(F95="Parcial",Legenda!$C$7,0))+IF(G95="otool + Ghidra",Legenda!$C$8,IF(OR(G95="otool",G95="Ghidra",G95="Outro binário"),Legenda!$C$9,0))+MIN(Legenda!$C$11,MAX(0,J95-1)*Legenda!$C$10)))),1)</f>
        <v/>
      </c>
      <c r="M95" s="67" t="inlineStr">
        <is>
          <t>A4-helper/H5-status-ui-ipc.md</t>
        </is>
      </c>
      <c r="N95" s="67" t="inlineStr">
        <is>
          <t>—</t>
        </is>
      </c>
      <c r="O95" s="67" t="inlineStr">
        <is>
          <t>O clone propõe XPC (Proposal.md). | CFStrings da UI verificados (servidor, extensoes, subcomandos); hipotese launch(1) refutada. A4/AUDIT-2026-10-14.md</t>
        </is>
      </c>
      <c r="P95" s="69">
        <f>LEFT(A95,FIND(".",A95&amp;".")-1)</f>
        <v/>
      </c>
    </row>
    <row r="96" ht="22.35" customHeight="1" s="21">
      <c r="A96" s="65" t="inlineStr">
        <is>
          <t>A4-H6.1</t>
        </is>
      </c>
      <c r="B96" s="66" t="inlineStr">
        <is>
          <t>A4</t>
        </is>
      </c>
      <c r="C96" s="67" t="inlineStr">
        <is>
          <t>Erros e retry</t>
        </is>
      </c>
      <c r="D96" s="67" t="inlineStr">
        <is>
          <t>Sem retry no upload; desconexão no meio = abandono silencioso.</t>
        </is>
      </c>
      <c r="E96" s="66" t="inlineStr">
        <is>
          <t>Sim</t>
        </is>
      </c>
      <c r="F96" s="66" t="inlineStr">
        <is>
          <t>Não</t>
        </is>
      </c>
      <c r="G96" s="66" t="inlineStr">
        <is>
          <t>otool + Ghidra</t>
        </is>
      </c>
      <c r="H96" s="66" t="inlineStr">
        <is>
          <t>Não</t>
        </is>
      </c>
      <c r="I96" s="67" t="inlineStr">
        <is>
          <t>Ghidra</t>
        </is>
      </c>
      <c r="J96" s="66">
        <f>IF(TRIM(I96)="",0,LEN(I96)-LEN(SUBSTITUTE(I96,";",""))+1)</f>
        <v/>
      </c>
      <c r="K96" s="67" t="inlineStr">
        <is>
          <t>Corrigido 2026-10-14</t>
        </is>
      </c>
      <c r="L96" s="68">
        <f>ROUND(IF(H96="Sim",MIN(Legenda!$C$12,MIN(10,IF(E96="Sim",Legenda!$C$4,IF(E96="Parcial",Legenda!$C$5,0))+IF(F96="Sim",Legenda!$C$6,IF(F96="Parcial",Legenda!$C$7,0))+IF(G96="otool + Ghidra",Legenda!$C$8,IF(OR(G96="otool",G96="Ghidra",G96="Outro binário"),Legenda!$C$9,0))+MIN(Legenda!$C$11,MAX(0,J96-1)*Legenda!$C$10))),IF(H96="Parcial",MIN(Legenda!$C$13,MIN(10,IF(E96="Sim",Legenda!$C$4,IF(E96="Parcial",Legenda!$C$5,0))+IF(F96="Sim",Legenda!$C$6,IF(F96="Parcial",Legenda!$C$7,0))+IF(G96="otool + Ghidra",Legenda!$C$8,IF(OR(G96="otool",G96="Ghidra",G96="Outro binário"),Legenda!$C$9,0))+MIN(Legenda!$C$11,MAX(0,J96-1)*Legenda!$C$10))),MIN(10,IF(E96="Sim",Legenda!$C$4,IF(E96="Parcial",Legenda!$C$5,0))+IF(F96="Sim",Legenda!$C$6,IF(F96="Parcial",Legenda!$C$7,0))+IF(G96="otool + Ghidra",Legenda!$C$8,IF(OR(G96="otool",G96="Ghidra",G96="Outro binário"),Legenda!$C$9,0))+MIN(Legenda!$C$11,MAX(0,J96-1)*Legenda!$C$10)))),1)</f>
        <v/>
      </c>
      <c r="M96" s="67" t="inlineStr">
        <is>
          <t>A4-helper/H6-error-retry.md</t>
        </is>
      </c>
      <c r="N96" s="67" t="inlineStr">
        <is>
          <t>A4-H6:45</t>
        </is>
      </c>
      <c r="O96" s="67" t="inlineStr">
        <is>
          <t>'Algumas centenas de ms' sem fonte. [2026-10-14] Bloco Correction inserido; resta verificação (ver Flags_auditoria / aba Painel). | Comando da UI termina com "&amp;" (nao bloqueia); upload de tentativa unica (decompile). R15</t>
        </is>
      </c>
      <c r="P96" s="69">
        <f>LEFT(A96,FIND(".",A96&amp;".")-1)</f>
        <v/>
      </c>
    </row>
    <row r="97" ht="22.35" customHeight="1" s="21">
      <c r="A97" s="65" t="inlineStr">
        <is>
          <t>A4-H7.1</t>
        </is>
      </c>
      <c r="B97" s="66" t="inlineStr">
        <is>
          <t>A4</t>
        </is>
      </c>
      <c r="C97" s="67" t="inlineStr">
        <is>
          <t>Ciclo de vida no launchd</t>
        </is>
      </c>
      <c r="D97" s="67" t="inlineStr">
        <is>
          <t>Servidor DO residente; helper é StartupItem no v1.9 e LaunchDaemon no v1.11.2.</t>
        </is>
      </c>
      <c r="E97" s="66" t="inlineStr">
        <is>
          <t>Sim</t>
        </is>
      </c>
      <c r="F97" s="66" t="inlineStr">
        <is>
          <t>Parcial</t>
        </is>
      </c>
      <c r="G97" s="66" t="inlineStr">
        <is>
          <t>otool</t>
        </is>
      </c>
      <c r="H97" s="66" t="inlineStr">
        <is>
          <t>Não</t>
        </is>
      </c>
      <c r="I97" s="67" t="inlineStr">
        <is>
          <t>Ghidra; inventário B5 (StartupItem no v1.9)</t>
        </is>
      </c>
      <c r="J97" s="66">
        <f>IF(TRIM(I97)="",0,LEN(I97)-LEN(SUBSTITUTE(I97,";",""))+1)</f>
        <v/>
      </c>
      <c r="K97" s="67" t="inlineStr">
        <is>
          <t>Corrigido 2026-10-14</t>
        </is>
      </c>
      <c r="L97" s="68">
        <f>ROUND(IF(H97="Sim",MIN(Legenda!$C$12,MIN(10,IF(E97="Sim",Legenda!$C$4,IF(E97="Parcial",Legenda!$C$5,0))+IF(F97="Sim",Legenda!$C$6,IF(F97="Parcial",Legenda!$C$7,0))+IF(G97="otool + Ghidra",Legenda!$C$8,IF(OR(G97="otool",G97="Ghidra",G97="Outro binário"),Legenda!$C$9,0))+MIN(Legenda!$C$11,MAX(0,J97-1)*Legenda!$C$10))),IF(H97="Parcial",MIN(Legenda!$C$13,MIN(10,IF(E97="Sim",Legenda!$C$4,IF(E97="Parcial",Legenda!$C$5,0))+IF(F97="Sim",Legenda!$C$6,IF(F97="Parcial",Legenda!$C$7,0))+IF(G97="otool + Ghidra",Legenda!$C$8,IF(OR(G97="otool",G97="Ghidra",G97="Outro binário"),Legenda!$C$9,0))+MIN(Legenda!$C$11,MAX(0,J97-1)*Legenda!$C$10))),MIN(10,IF(E97="Sim",Legenda!$C$4,IF(E97="Parcial",Legenda!$C$5,0))+IF(F97="Sim",Legenda!$C$6,IF(F97="Parcial",Legenda!$C$7,0))+IF(G97="otool + Ghidra",Legenda!$C$8,IF(OR(G97="otool",G97="Ghidra",G97="Outro binário"),Legenda!$C$9,0))+MIN(Legenda!$C$11,MAX(0,J97-1)*Legenda!$C$10)))),1)</f>
        <v/>
      </c>
      <c r="M97" s="67" t="inlineStr">
        <is>
          <t>A4-helper/H7-launchd-lifecycle.md; B5 §3</t>
        </is>
      </c>
      <c r="N97" s="67" t="inlineStr">
        <is>
          <t>—</t>
        </is>
      </c>
      <c r="O97" s="67" t="inlineStr">
        <is>
          <t>Sem imports signal/sigaction/atexit; plist confere com o do SL; reinicio do helper no SL (captura 71). A4/AUDIT-2026-10-14.md</t>
        </is>
      </c>
      <c r="P97" s="69">
        <f>LEFT(A97,FIND(".",A97&amp;".")-1)</f>
        <v/>
      </c>
    </row>
    <row r="98" ht="22.35" customHeight="1" s="21">
      <c r="A98" s="65" t="inlineStr">
        <is>
          <t>A4-H8.1</t>
        </is>
      </c>
      <c r="B98" s="66" t="inlineStr">
        <is>
          <t>A4</t>
        </is>
      </c>
      <c r="C98" s="67" t="inlineStr">
        <is>
          <t>Handoff e multiproduto</t>
        </is>
      </c>
      <c r="D98" s="67" t="inlineStr">
        <is>
          <t>Match por classe cobre 0x10070 e 0x10071; tabela de 8 produtos.</t>
        </is>
      </c>
      <c r="E98" s="66" t="inlineStr">
        <is>
          <t>Sim</t>
        </is>
      </c>
      <c r="F98" s="66" t="inlineStr">
        <is>
          <t>Parcial</t>
        </is>
      </c>
      <c r="G98" s="66" t="inlineStr">
        <is>
          <t>otool + Ghidra</t>
        </is>
      </c>
      <c r="H98" s="66" t="inlineStr">
        <is>
          <t>Não</t>
        </is>
      </c>
      <c r="I98" s="67" t="inlineStr">
        <is>
          <t>Ghidra</t>
        </is>
      </c>
      <c r="J98" s="66">
        <f>IF(TRIM(I98)="",0,LEN(I98)-LEN(SUBSTITUTE(I98,";",""))+1)</f>
        <v/>
      </c>
      <c r="K98" s="67" t="inlineStr">
        <is>
          <t>Corrigido 2026-10-14</t>
        </is>
      </c>
      <c r="L98" s="68">
        <f>ROUND(IF(H98="Sim",MIN(Legenda!$C$12,MIN(10,IF(E98="Sim",Legenda!$C$4,IF(E98="Parcial",Legenda!$C$5,0))+IF(F98="Sim",Legenda!$C$6,IF(F98="Parcial",Legenda!$C$7,0))+IF(G98="otool + Ghidra",Legenda!$C$8,IF(OR(G98="otool",G98="Ghidra",G98="Outro binário"),Legenda!$C$9,0))+MIN(Legenda!$C$11,MAX(0,J98-1)*Legenda!$C$10))),IF(H98="Parcial",MIN(Legenda!$C$13,MIN(10,IF(E98="Sim",Legenda!$C$4,IF(E98="Parcial",Legenda!$C$5,0))+IF(F98="Sim",Legenda!$C$6,IF(F98="Parcial",Legenda!$C$7,0))+IF(G98="otool + Ghidra",Legenda!$C$8,IF(OR(G98="otool",G98="Ghidra",G98="Outro binário"),Legenda!$C$9,0))+MIN(Legenda!$C$11,MAX(0,J98-1)*Legenda!$C$10))),MIN(10,IF(E98="Sim",Legenda!$C$4,IF(E98="Parcial",Legenda!$C$5,0))+IF(F98="Sim",Legenda!$C$6,IF(F98="Parcial",Legenda!$C$7,0))+IF(G98="otool + Ghidra",Legenda!$C$8,IF(OR(G98="otool",G98="Ghidra",G98="Outro binário"),Legenda!$C$9,0))+MIN(Legenda!$C$11,MAX(0,J98-1)*Legenda!$C$10)))),1)</f>
        <v/>
      </c>
      <c r="M98" s="67" t="inlineStr">
        <is>
          <t>A4-helper/H8-runtime-handoff.md; H10-multi-product-dispatch.md</t>
        </is>
      </c>
      <c r="N98" s="67" t="inlineStr">
        <is>
          <t>—</t>
        </is>
      </c>
      <c r="O98" s="67" t="inlineStr">
        <is>
          <t>Passos 1-2 do handoff estavam invertidos (info[0xc]!=0 = bootloader). Push de prefs do helper observado no SL; payload nao decodificado. A4/AUDIT-2026-10-14.md</t>
        </is>
      </c>
      <c r="P98" s="69">
        <f>LEFT(A98,FIND(".",A98&amp;".")-1)</f>
        <v/>
      </c>
    </row>
    <row r="99" ht="15" customHeight="1" s="21">
      <c r="A99" s="65" t="inlineStr">
        <is>
          <t>A4-H9.1</t>
        </is>
      </c>
      <c r="B99" s="66" t="inlineStr">
        <is>
          <t>A4</t>
        </is>
      </c>
      <c r="C99" s="67" t="inlineStr">
        <is>
          <t>Leitura do BCD pelo helper</t>
        </is>
      </c>
      <c r="D99" s="67" t="inlineStr">
        <is>
          <t>O helper lê só offsets do cabeçalho a partir de 0x08.</t>
        </is>
      </c>
      <c r="E99" s="66" t="inlineStr">
        <is>
          <t>Parcial</t>
        </is>
      </c>
      <c r="F99" s="66" t="inlineStr">
        <is>
          <t>Não</t>
        </is>
      </c>
      <c r="G99" s="66" t="inlineStr">
        <is>
          <t>Ghidra</t>
        </is>
      </c>
      <c r="H99" s="66" t="inlineStr">
        <is>
          <t>Não</t>
        </is>
      </c>
      <c r="I99" s="67" t="inlineStr">
        <is>
          <t>Ghidra; A5</t>
        </is>
      </c>
      <c r="J99" s="66">
        <f>IF(TRIM(I99)="",0,LEN(I99)-LEN(SUBSTITUTE(I99,";",""))+1)</f>
        <v/>
      </c>
      <c r="K99" s="67" t="inlineStr">
        <is>
          <t>Corrigido 2026-10-09</t>
        </is>
      </c>
      <c r="L99" s="68">
        <f>ROUND(IF(H99="Sim",MIN(Legenda!$C$12,MIN(10,IF(E99="Sim",Legenda!$C$4,IF(E99="Parcial",Legenda!$C$5,0))+IF(F99="Sim",Legenda!$C$6,IF(F99="Parcial",Legenda!$C$7,0))+IF(G99="otool + Ghidra",Legenda!$C$8,IF(OR(G99="otool",G99="Ghidra",G99="Outro binário"),Legenda!$C$9,0))+MIN(Legenda!$C$11,MAX(0,J99-1)*Legenda!$C$10))),IF(H99="Parcial",MIN(Legenda!$C$13,MIN(10,IF(E99="Sim",Legenda!$C$4,IF(E99="Parcial",Legenda!$C$5,0))+IF(F99="Sim",Legenda!$C$6,IF(F99="Parcial",Legenda!$C$7,0))+IF(G99="otool + Ghidra",Legenda!$C$8,IF(OR(G99="otool",G99="Ghidra",G99="Outro binário"),Legenda!$C$9,0))+MIN(Legenda!$C$11,MAX(0,J99-1)*Legenda!$C$10))),MIN(10,IF(E99="Sim",Legenda!$C$4,IF(E99="Parcial",Legenda!$C$5,0))+IF(F99="Sim",Legenda!$C$6,IF(F99="Parcial",Legenda!$C$7,0))+IF(G99="otool + Ghidra",Legenda!$C$8,IF(OR(G99="otool",G99="Ghidra",G99="Outro binário"),Legenda!$C$9,0))+MIN(Legenda!$C$11,MAX(0,J99-1)*Legenda!$C$10)))),1)</f>
        <v/>
      </c>
      <c r="M99" s="67" t="inlineStr">
        <is>
          <t>A4-helper/H9-bcd-reader.md; A5</t>
        </is>
      </c>
      <c r="N99" s="67" t="inlineStr">
        <is>
          <t>—</t>
        </is>
      </c>
      <c r="O99" s="67" t="inlineStr">
        <is>
          <t>Corrigido por A5 (data em ASCII, offset do apêndice).</t>
        </is>
      </c>
      <c r="P99" s="69">
        <f>LEFT(A99,FIND(".",A99&amp;".")-1)</f>
        <v/>
      </c>
    </row>
    <row r="100" ht="32.8" customHeight="1" s="21">
      <c r="A100" s="65" t="inlineStr">
        <is>
          <t>A5.1</t>
        </is>
      </c>
      <c r="B100" s="66" t="inlineStr">
        <is>
          <t>A5</t>
        </is>
      </c>
      <c r="C100" s="67" t="inlineStr">
        <is>
          <t>Formato do fw1814.bcd</t>
        </is>
      </c>
      <c r="D100" s="67" t="inlineStr">
        <is>
          <t>Cabeçalho 'bCoD' de 96 bytes + nome de 16 bytes + imagem ARM + namespace de atributos; CRC32 do payload (h[0x3c]), do apêndice (h[0x5c]) e do cabeçalho (h[0x2c]) verificados.</t>
        </is>
      </c>
      <c r="E100" s="66" t="inlineStr">
        <is>
          <t>Sim</t>
        </is>
      </c>
      <c r="F100" s="66" t="inlineStr">
        <is>
          <t>Não</t>
        </is>
      </c>
      <c r="G100" s="66" t="inlineStr">
        <is>
          <t>Outro binário</t>
        </is>
      </c>
      <c r="H100" s="66" t="inlineStr">
        <is>
          <t>Não</t>
        </is>
      </c>
      <c r="I100" s="67" t="inlineStr">
        <is>
          <t>bytes do arquivo (python/zlib); A4-H4/H9</t>
        </is>
      </c>
      <c r="J100" s="66">
        <f>IF(TRIM(I100)="",0,LEN(I100)-LEN(SUBSTITUTE(I100,";",""))+1)</f>
        <v/>
      </c>
      <c r="K100" s="67" t="inlineStr">
        <is>
          <t>Consistente</t>
        </is>
      </c>
      <c r="L100" s="68">
        <f>ROUND(IF(H100="Sim",MIN(Legenda!$C$12,MIN(10,IF(E100="Sim",Legenda!$C$4,IF(E100="Parcial",Legenda!$C$5,0))+IF(F100="Sim",Legenda!$C$6,IF(F100="Parcial",Legenda!$C$7,0))+IF(G100="otool + Ghidra",Legenda!$C$8,IF(OR(G100="otool",G100="Ghidra",G100="Outro binário"),Legenda!$C$9,0))+MIN(Legenda!$C$11,MAX(0,J100-1)*Legenda!$C$10))),IF(H100="Parcial",MIN(Legenda!$C$13,MIN(10,IF(E100="Sim",Legenda!$C$4,IF(E100="Parcial",Legenda!$C$5,0))+IF(F100="Sim",Legenda!$C$6,IF(F100="Parcial",Legenda!$C$7,0))+IF(G100="otool + Ghidra",Legenda!$C$8,IF(OR(G100="otool",G100="Ghidra",G100="Outro binário"),Legenda!$C$9,0))+MIN(Legenda!$C$11,MAX(0,J100-1)*Legenda!$C$10))),MIN(10,IF(E100="Sim",Legenda!$C$4,IF(E100="Parcial",Legenda!$C$5,0))+IF(F100="Sim",Legenda!$C$6,IF(F100="Parcial",Legenda!$C$7,0))+IF(G100="otool + Ghidra",Legenda!$C$8,IF(OR(G100="otool",G100="Ghidra",G100="Outro binário"),Legenda!$C$9,0))+MIN(Legenda!$C$11,MAX(0,J100-1)*Legenda!$C$10)))),1)</f>
        <v/>
      </c>
      <c r="M100" s="67" t="inlineStr">
        <is>
          <t>A5-firmware.md</t>
        </is>
      </c>
      <c r="N100" s="67" t="inlineStr">
        <is>
          <t>—</t>
        </is>
      </c>
      <c r="O100" s="67" t="inlineStr">
        <is>
          <t>—</t>
        </is>
      </c>
      <c r="P100" s="69">
        <f>LEFT(A100,FIND(".",A100&amp;".")-1)</f>
        <v/>
      </c>
    </row>
    <row r="101" ht="22.35" customHeight="1" s="21">
      <c r="A101" s="65" t="inlineStr">
        <is>
          <t>A5.2</t>
        </is>
      </c>
      <c r="B101" s="66" t="inlineStr">
        <is>
          <t>A5</t>
        </is>
      </c>
      <c r="C101" s="67" t="inlineStr">
        <is>
          <t>Namespace de atributos BridgeCo</t>
        </is>
      </c>
      <c r="D101" s="67" t="inlineStr">
        <is>
          <t>Atributos de PLL, descritores AV/C, mixer e roteamento; UART1/UART2 = MIDI (provável).</t>
        </is>
      </c>
      <c r="E101" s="66" t="inlineStr">
        <is>
          <t>Sim</t>
        </is>
      </c>
      <c r="F101" s="66" t="inlineStr">
        <is>
          <t>Não</t>
        </is>
      </c>
      <c r="G101" s="66" t="inlineStr">
        <is>
          <t>Outro binário</t>
        </is>
      </c>
      <c r="H101" s="66" t="inlineStr">
        <is>
          <t>Parcial</t>
        </is>
      </c>
      <c r="I101" s="67" t="inlineStr">
        <is>
          <t>bytes do arquivo</t>
        </is>
      </c>
      <c r="J101" s="66">
        <f>IF(TRIM(I101)="",0,LEN(I101)-LEN(SUBSTITUTE(I101,";",""))+1)</f>
        <v/>
      </c>
      <c r="K101" s="67" t="inlineStr">
        <is>
          <t>Corrigido 2026-10-14</t>
        </is>
      </c>
      <c r="L101" s="68">
        <f>ROUND(IF(H101="Sim",MIN(Legenda!$C$12,MIN(10,IF(E101="Sim",Legenda!$C$4,IF(E101="Parcial",Legenda!$C$5,0))+IF(F101="Sim",Legenda!$C$6,IF(F101="Parcial",Legenda!$C$7,0))+IF(G101="otool + Ghidra",Legenda!$C$8,IF(OR(G101="otool",G101="Ghidra",G101="Outro binário"),Legenda!$C$9,0))+MIN(Legenda!$C$11,MAX(0,J101-1)*Legenda!$C$10))),IF(H101="Parcial",MIN(Legenda!$C$13,MIN(10,IF(E101="Sim",Legenda!$C$4,IF(E101="Parcial",Legenda!$C$5,0))+IF(F101="Sim",Legenda!$C$6,IF(F101="Parcial",Legenda!$C$7,0))+IF(G101="otool + Ghidra",Legenda!$C$8,IF(OR(G101="otool",G101="Ghidra",G101="Outro binário"),Legenda!$C$9,0))+MIN(Legenda!$C$11,MAX(0,J101-1)*Legenda!$C$10))),MIN(10,IF(E101="Sim",Legenda!$C$4,IF(E101="Parcial",Legenda!$C$5,0))+IF(F101="Sim",Legenda!$C$6,IF(F101="Parcial",Legenda!$C$7,0))+IF(G101="otool + Ghidra",Legenda!$C$8,IF(OR(G101="otool",G101="Ghidra",G101="Outro binário"),Legenda!$C$9,0))+MIN(Legenda!$C$11,MAX(0,J101-1)*Legenda!$C$10)))),1)</f>
        <v/>
      </c>
      <c r="M101" s="67" t="inlineStr">
        <is>
          <t>A5-firmware.md</t>
        </is>
      </c>
      <c r="N101" s="67" t="inlineStr">
        <is>
          <t>A5:110-111</t>
        </is>
      </c>
      <c r="O101" s="67" t="inlineStr">
        <is>
          <t>'UART = MIDI' é suposição. [2026-10-14] Bloco Correction inserido; resta verificação (ver Flags_auditoria / aba Painel). | Firmware: midiInit abre /dev/uart2 (MIDI in+out na UART2); papel da UART1 nao verificado. R15</t>
        </is>
      </c>
      <c r="P101" s="69">
        <f>LEFT(A101,FIND(".",A101&amp;".")-1)</f>
        <v/>
      </c>
    </row>
    <row r="102" ht="22.35" customHeight="1" s="21">
      <c r="A102" s="65" t="inlineStr">
        <is>
          <t>A6.1</t>
        </is>
      </c>
      <c r="B102" s="66" t="inlineStr">
        <is>
          <t>A6</t>
        </is>
      </c>
      <c r="C102" s="67" t="inlineStr">
        <is>
          <t>Prefpane</t>
        </is>
      </c>
      <c r="D102" s="67" t="inlineStr">
        <is>
          <t>Só trampolim: abre o painel (com.m-audio.appc.MAfw) via NSWorkspace; sem IPC, IOKit ou FireWire.</t>
        </is>
      </c>
      <c r="E102" s="66" t="inlineStr">
        <is>
          <t>Sim</t>
        </is>
      </c>
      <c r="F102" s="66" t="inlineStr">
        <is>
          <t>Não</t>
        </is>
      </c>
      <c r="G102" s="66" t="inlineStr">
        <is>
          <t>Outro binário</t>
        </is>
      </c>
      <c r="H102" s="66" t="inlineStr">
        <is>
          <t>Não</t>
        </is>
      </c>
      <c r="I102" s="67" t="inlineStr">
        <is>
          <t>Ghidra; otool; strings do bundle</t>
        </is>
      </c>
      <c r="J102" s="66">
        <f>IF(TRIM(I102)="",0,LEN(I102)-LEN(SUBSTITUTE(I102,";",""))+1)</f>
        <v/>
      </c>
      <c r="K102" s="67" t="inlineStr">
        <is>
          <t>Corrigido 2026-10-14</t>
        </is>
      </c>
      <c r="L102" s="68">
        <f>ROUND(IF(H102="Sim",MIN(Legenda!$C$12,MIN(10,IF(E102="Sim",Legenda!$C$4,IF(E102="Parcial",Legenda!$C$5,0))+IF(F102="Sim",Legenda!$C$6,IF(F102="Parcial",Legenda!$C$7,0))+IF(G102="otool + Ghidra",Legenda!$C$8,IF(OR(G102="otool",G102="Ghidra",G102="Outro binário"),Legenda!$C$9,0))+MIN(Legenda!$C$11,MAX(0,J102-1)*Legenda!$C$10))),IF(H102="Parcial",MIN(Legenda!$C$13,MIN(10,IF(E102="Sim",Legenda!$C$4,IF(E102="Parcial",Legenda!$C$5,0))+IF(F102="Sim",Legenda!$C$6,IF(F102="Parcial",Legenda!$C$7,0))+IF(G102="otool + Ghidra",Legenda!$C$8,IF(OR(G102="otool",G102="Ghidra",G102="Outro binário"),Legenda!$C$9,0))+MIN(Legenda!$C$11,MAX(0,J102-1)*Legenda!$C$10))),MIN(10,IF(E102="Sim",Legenda!$C$4,IF(E102="Parcial",Legenda!$C$5,0))+IF(F102="Sim",Legenda!$C$6,IF(F102="Parcial",Legenda!$C$7,0))+IF(G102="otool + Ghidra",Legenda!$C$8,IF(OR(G102="otool",G102="Ghidra",G102="Outro binário"),Legenda!$C$9,0))+MIN(Legenda!$C$11,MAX(0,J102-1)*Legenda!$C$10)))),1)</f>
        <v/>
      </c>
      <c r="M102" s="67" t="inlineStr">
        <is>
          <t>A6-prefpane.md</t>
        </is>
      </c>
      <c r="N102" s="67" t="inlineStr">
        <is>
          <t>A6:76</t>
        </is>
      </c>
      <c r="O102" s="67" t="inlineStr">
        <is>
          <t>O clone descarta o prefpane. | Info.plist e strings relidos; NIB = File Owner + NSWindow + 1 NSView + outlet _window, 0 classes de controle (placeholder vazio confirmado). ibtool indisponivel (strings do typedstream). R19</t>
        </is>
      </c>
      <c r="P102" s="69">
        <f>LEFT(A102,FIND(".",A102&amp;".")-1)</f>
        <v/>
      </c>
    </row>
    <row r="103" ht="22.35" customHeight="1" s="21">
      <c r="A103" s="65" t="inlineStr">
        <is>
          <t>B1.1</t>
        </is>
      </c>
      <c r="B103" s="66" t="inlineStr">
        <is>
          <t>B1</t>
        </is>
      </c>
      <c r="C103" s="67" t="inlineStr">
        <is>
          <t>FFADO: mapa de registros</t>
        </is>
      </c>
      <c r="D103" s="67" t="inlineStr">
        <is>
          <t>Janela 0xFFC7:0x00700000 com offsets GAIN/LR (special_avdevice.h:47-80); corroborada pelo kext.</t>
        </is>
      </c>
      <c r="E103" s="66" t="inlineStr">
        <is>
          <t>Sim</t>
        </is>
      </c>
      <c r="F103" s="66" t="inlineStr">
        <is>
          <t>Não</t>
        </is>
      </c>
      <c r="G103" s="66" t="inlineStr">
        <is>
          <t>otool</t>
        </is>
      </c>
      <c r="H103" s="66" t="inlineStr">
        <is>
          <t>Não</t>
        </is>
      </c>
      <c r="I103" s="67" t="inlineStr">
        <is>
          <t>FFADO special_avdevice.h; kext Q15f</t>
        </is>
      </c>
      <c r="J103" s="66">
        <f>IF(TRIM(I103)="",0,LEN(I103)-LEN(SUBSTITUTE(I103,";",""))+1)</f>
        <v/>
      </c>
      <c r="K103" s="67" t="inlineStr">
        <is>
          <t>Corrigido 2026-10-14</t>
        </is>
      </c>
      <c r="L103" s="68">
        <f>ROUND(IF(H103="Sim",MIN(Legenda!$C$12,MIN(10,IF(E103="Sim",Legenda!$C$4,IF(E103="Parcial",Legenda!$C$5,0))+IF(F103="Sim",Legenda!$C$6,IF(F103="Parcial",Legenda!$C$7,0))+IF(G103="otool + Ghidra",Legenda!$C$8,IF(OR(G103="otool",G103="Ghidra",G103="Outro binário"),Legenda!$C$9,0))+MIN(Legenda!$C$11,MAX(0,J103-1)*Legenda!$C$10))),IF(H103="Parcial",MIN(Legenda!$C$13,MIN(10,IF(E103="Sim",Legenda!$C$4,IF(E103="Parcial",Legenda!$C$5,0))+IF(F103="Sim",Legenda!$C$6,IF(F103="Parcial",Legenda!$C$7,0))+IF(G103="otool + Ghidra",Legenda!$C$8,IF(OR(G103="otool",G103="Ghidra",G103="Outro binário"),Legenda!$C$9,0))+MIN(Legenda!$C$11,MAX(0,J103-1)*Legenda!$C$10))),MIN(10,IF(E103="Sim",Legenda!$C$4,IF(E103="Parcial",Legenda!$C$5,0))+IF(F103="Sim",Legenda!$C$6,IF(F103="Parcial",Legenda!$C$7,0))+IF(G103="otool + Ghidra",Legenda!$C$8,IF(OR(G103="otool",G103="Ghidra",G103="Outro binário"),Legenda!$C$9,0))+MIN(Legenda!$C$11,MAX(0,J103-1)*Legenda!$C$10)))),1)</f>
        <v/>
      </c>
      <c r="M103" s="67" t="inlineStr">
        <is>
          <t>B1-ffado-correlate.md</t>
        </is>
      </c>
      <c r="N103" s="67" t="inlineStr">
        <is>
          <t>B1:85,132</t>
        </is>
      </c>
      <c r="O103" s="67" t="inlineStr">
        <is>
          <t>O FFADO não implementa clock/HSCI/taxa (stubs).</t>
        </is>
      </c>
      <c r="P103" s="69">
        <f>LEFT(A103,FIND(".",A103&amp;".")-1)</f>
        <v/>
      </c>
    </row>
    <row r="104" ht="15" customHeight="1" s="21">
      <c r="A104" s="65" t="inlineStr">
        <is>
          <t>B2.1</t>
        </is>
      </c>
      <c r="B104" s="66" t="inlineStr">
        <is>
          <t>B2</t>
        </is>
      </c>
      <c r="C104" s="67" t="inlineStr">
        <is>
          <t>snd-bebob: silêncio AM824</t>
        </is>
      </c>
      <c r="D104" s="67" t="inlineStr">
        <is>
          <t>O Linux usa label 0x40 (MBLA); o kext usa 0xCF.</t>
        </is>
      </c>
      <c r="E104" s="66" t="inlineStr">
        <is>
          <t>Sim</t>
        </is>
      </c>
      <c r="F104" s="66" t="inlineStr">
        <is>
          <t>Não</t>
        </is>
      </c>
      <c r="G104" s="66" t="inlineStr">
        <is>
          <t>otool</t>
        </is>
      </c>
      <c r="H104" s="66" t="inlineStr">
        <is>
          <t>Não</t>
        </is>
      </c>
      <c r="I104" s="67" t="inlineStr">
        <is>
          <t>snd-bebob amdtp-am824.c; kext Q17</t>
        </is>
      </c>
      <c r="J104" s="66">
        <f>IF(TRIM(I104)="",0,LEN(I104)-LEN(SUBSTITUTE(I104,";",""))+1)</f>
        <v/>
      </c>
      <c r="K104" s="67" t="inlineStr">
        <is>
          <t>Consistente</t>
        </is>
      </c>
      <c r="L104" s="68">
        <f>ROUND(IF(H104="Sim",MIN(Legenda!$C$12,MIN(10,IF(E104="Sim",Legenda!$C$4,IF(E104="Parcial",Legenda!$C$5,0))+IF(F104="Sim",Legenda!$C$6,IF(F104="Parcial",Legenda!$C$7,0))+IF(G104="otool + Ghidra",Legenda!$C$8,IF(OR(G104="otool",G104="Ghidra",G104="Outro binário"),Legenda!$C$9,0))+MIN(Legenda!$C$11,MAX(0,J104-1)*Legenda!$C$10))),IF(H104="Parcial",MIN(Legenda!$C$13,MIN(10,IF(E104="Sim",Legenda!$C$4,IF(E104="Parcial",Legenda!$C$5,0))+IF(F104="Sim",Legenda!$C$6,IF(F104="Parcial",Legenda!$C$7,0))+IF(G104="otool + Ghidra",Legenda!$C$8,IF(OR(G104="otool",G104="Ghidra",G104="Outro binário"),Legenda!$C$9,0))+MIN(Legenda!$C$11,MAX(0,J104-1)*Legenda!$C$10))),MIN(10,IF(E104="Sim",Legenda!$C$4,IF(E104="Parcial",Legenda!$C$5,0))+IF(F104="Sim",Legenda!$C$6,IF(F104="Parcial",Legenda!$C$7,0))+IF(G104="otool + Ghidra",Legenda!$C$8,IF(OR(G104="otool",G104="Ghidra",G104="Outro binário"),Legenda!$C$9,0))+MIN(Legenda!$C$11,MAX(0,J104-1)*Legenda!$C$10)))),1)</f>
        <v/>
      </c>
      <c r="M104" s="67" t="inlineStr">
        <is>
          <t>B2-snd-bebob-correlate.md</t>
        </is>
      </c>
      <c r="N104" s="67" t="inlineStr">
        <is>
          <t>—</t>
        </is>
      </c>
      <c r="O104" s="67" t="inlineStr">
        <is>
          <t>O clone espelha 0xCF.</t>
        </is>
      </c>
      <c r="P104" s="69">
        <f>LEFT(A104,FIND(".",A104&amp;".")-1)</f>
        <v/>
      </c>
    </row>
    <row r="105" ht="22.35" customHeight="1" s="21">
      <c r="A105" s="65" t="inlineStr">
        <is>
          <t>B2.2</t>
        </is>
      </c>
      <c r="B105" s="66" t="inlineStr">
        <is>
          <t>B2</t>
        </is>
      </c>
      <c r="C105" s="67" t="inlineStr">
        <is>
          <t>snd-bebob: lacunas no A1</t>
        </is>
      </c>
      <c r="D105" s="67" t="inlineStr">
        <is>
          <t>CIP_EMPTY_HAS_WRONG_DBC ≥88 kHz (bebob.c:174) e correção de gap-count pós-registro (bebob.c:289) não foram encontrados no kext.</t>
        </is>
      </c>
      <c r="E105" s="66" t="inlineStr">
        <is>
          <t>Não</t>
        </is>
      </c>
      <c r="F105" s="66" t="inlineStr">
        <is>
          <t>Não</t>
        </is>
      </c>
      <c r="G105" s="66" t="inlineStr">
        <is>
          <t>Nenhum</t>
        </is>
      </c>
      <c r="H105" s="66" t="inlineStr">
        <is>
          <t>Parcial</t>
        </is>
      </c>
      <c r="I105" s="67" t="inlineStr">
        <is>
          <t>snd-bebob</t>
        </is>
      </c>
      <c r="J105" s="66">
        <f>IF(TRIM(I105)="",0,LEN(I105)-LEN(SUBSTITUTE(I105,";",""))+1)</f>
        <v/>
      </c>
      <c r="K105" s="67" t="inlineStr">
        <is>
          <t>Aberto / não resolvido</t>
        </is>
      </c>
      <c r="L105" s="68">
        <f>ROUND(IF(H105="Sim",MIN(Legenda!$C$12,MIN(10,IF(E105="Sim",Legenda!$C$4,IF(E105="Parcial",Legenda!$C$5,0))+IF(F105="Sim",Legenda!$C$6,IF(F105="Parcial",Legenda!$C$7,0))+IF(G105="otool + Ghidra",Legenda!$C$8,IF(OR(G105="otool",G105="Ghidra",G105="Outro binário"),Legenda!$C$9,0))+MIN(Legenda!$C$11,MAX(0,J105-1)*Legenda!$C$10))),IF(H105="Parcial",MIN(Legenda!$C$13,MIN(10,IF(E105="Sim",Legenda!$C$4,IF(E105="Parcial",Legenda!$C$5,0))+IF(F105="Sim",Legenda!$C$6,IF(F105="Parcial",Legenda!$C$7,0))+IF(G105="otool + Ghidra",Legenda!$C$8,IF(OR(G105="otool",G105="Ghidra",G105="Outro binário"),Legenda!$C$9,0))+MIN(Legenda!$C$11,MAX(0,J105-1)*Legenda!$C$10))),MIN(10,IF(E105="Sim",Legenda!$C$4,IF(E105="Parcial",Legenda!$C$5,0))+IF(F105="Sim",Legenda!$C$6,IF(F105="Parcial",Legenda!$C$7,0))+IF(G105="otool + Ghidra",Legenda!$C$8,IF(OR(G105="otool",G105="Ghidra",G105="Outro binário"),Legenda!$C$9,0))+MIN(Legenda!$C$11,MAX(0,J105-1)*Legenda!$C$10)))),1)</f>
        <v/>
      </c>
      <c r="M105" s="67" t="inlineStr">
        <is>
          <t>B2-snd-bebob-correlate.md</t>
        </is>
      </c>
      <c r="N105" s="67" t="inlineStr">
        <is>
          <t>—</t>
        </is>
      </c>
      <c r="O105" s="67" t="inlineStr">
        <is>
          <t>Procurar equivalentes no kext (C4:213 em aberto).</t>
        </is>
      </c>
      <c r="P105" s="69">
        <f>LEFT(A105,FIND(".",A105&amp;".")-1)</f>
        <v/>
      </c>
    </row>
    <row r="106" ht="22.35" customHeight="1" s="21">
      <c r="A106" s="65" t="inlineStr">
        <is>
          <t>B2.3</t>
        </is>
      </c>
      <c r="B106" s="66" t="inlineStr">
        <is>
          <t>B2</t>
        </is>
      </c>
      <c r="C106" s="67" t="inlineStr">
        <is>
          <t>snd-bebob: stream kick de 100 ms</t>
        </is>
      </c>
      <c r="D106" s="67" t="inlineStr">
        <is>
          <t>special_set_rate: OUTPUT → msleep(100) → INPUT (bebob_maudio.c:312-337).</t>
        </is>
      </c>
      <c r="E106" s="66" t="inlineStr">
        <is>
          <t>Não</t>
        </is>
      </c>
      <c r="F106" s="66" t="inlineStr">
        <is>
          <t>Não</t>
        </is>
      </c>
      <c r="G106" s="66" t="inlineStr">
        <is>
          <t>Nenhum</t>
        </is>
      </c>
      <c r="H106" s="66" t="inlineStr">
        <is>
          <t>Não</t>
        </is>
      </c>
      <c r="I106" s="67" t="inlineStr">
        <is>
          <t>snd-bebob</t>
        </is>
      </c>
      <c r="J106" s="66">
        <f>IF(TRIM(I106)="",0,LEN(I106)-LEN(SUBSTITUTE(I106,";",""))+1)</f>
        <v/>
      </c>
      <c r="K106" s="67" t="inlineStr">
        <is>
          <t>Corrigido 2026-10-14</t>
        </is>
      </c>
      <c r="L106" s="68">
        <f>ROUND(IF(H106="Sim",MIN(Legenda!$C$12,MIN(10,IF(E106="Sim",Legenda!$C$4,IF(E106="Parcial",Legenda!$C$5,0))+IF(F106="Sim",Legenda!$C$6,IF(F106="Parcial",Legenda!$C$7,0))+IF(G106="otool + Ghidra",Legenda!$C$8,IF(OR(G106="otool",G106="Ghidra",G106="Outro binário"),Legenda!$C$9,0))+MIN(Legenda!$C$11,MAX(0,J106-1)*Legenda!$C$10))),IF(H106="Parcial",MIN(Legenda!$C$13,MIN(10,IF(E106="Sim",Legenda!$C$4,IF(E106="Parcial",Legenda!$C$5,0))+IF(F106="Sim",Legenda!$C$6,IF(F106="Parcial",Legenda!$C$7,0))+IF(G106="otool + Ghidra",Legenda!$C$8,IF(OR(G106="otool",G106="Ghidra",G106="Outro binário"),Legenda!$C$9,0))+MIN(Legenda!$C$11,MAX(0,J106-1)*Legenda!$C$10))),MIN(10,IF(E106="Sim",Legenda!$C$4,IF(E106="Parcial",Legenda!$C$5,0))+IF(F106="Sim",Legenda!$C$6,IF(F106="Parcial",Legenda!$C$7,0))+IF(G106="otool + Ghidra",Legenda!$C$8,IF(OR(G106="otool",G106="Ghidra",G106="Outro binário"),Legenda!$C$9,0))+MIN(Legenda!$C$11,MAX(0,J106-1)*Legenda!$C$10)))),1)</f>
        <v/>
      </c>
      <c r="M106" s="67" t="inlineStr">
        <is>
          <t>B2:298-304</t>
        </is>
      </c>
      <c r="N106" s="67" t="inlineStr">
        <is>
          <t>B2:298-304; B4:20,59,61,280</t>
        </is>
      </c>
      <c r="O106" s="67" t="inlineStr">
        <is>
          <t>É fato sobre o Linux; a ordem do kext é diferente (A1-Q3a.2). A nota baixa reflete a aplicabilidade ao clone macOS. [2026-10-14] Bloco Correction inserido nos .md; evidência em docs/system-map/PROVENANCE-RESOLUTIONS.md.</t>
        </is>
      </c>
      <c r="P106" s="69">
        <f>LEFT(A106,FIND(".",A106&amp;".")-1)</f>
        <v/>
      </c>
    </row>
    <row r="107" ht="22.35" customHeight="1" s="21">
      <c r="A107" s="65" t="inlineStr">
        <is>
          <t>B2a.1</t>
        </is>
      </c>
      <c r="B107" s="66" t="inlineStr">
        <is>
          <t>B2a</t>
        </is>
      </c>
      <c r="C107" s="67" t="inlineStr">
        <is>
          <t>Rust: cache de estado</t>
        </is>
      </c>
      <c r="D107" s="67" t="inlineStr">
        <is>
          <t>MaudioSpecialStateCache de 160 bytes com 18 faixas de offset; atualização parcial no mesmo padrão do despachante único.</t>
        </is>
      </c>
      <c r="E107" s="66" t="inlineStr">
        <is>
          <t>Não</t>
        </is>
      </c>
      <c r="F107" s="66" t="inlineStr">
        <is>
          <t>Não</t>
        </is>
      </c>
      <c r="G107" s="66" t="inlineStr">
        <is>
          <t>Nenhum</t>
        </is>
      </c>
      <c r="H107" s="66" t="inlineStr">
        <is>
          <t>Não</t>
        </is>
      </c>
      <c r="I107" s="67" t="inlineStr">
        <is>
          <t>Rust special.rs:308-399</t>
        </is>
      </c>
      <c r="J107" s="66">
        <f>IF(TRIM(I107)="",0,LEN(I107)-LEN(SUBSTITUTE(I107,";",""))+1)</f>
        <v/>
      </c>
      <c r="K107" s="67" t="inlineStr">
        <is>
          <t>Consistente</t>
        </is>
      </c>
      <c r="L107" s="68">
        <f>ROUND(IF(H107="Sim",MIN(Legenda!$C$12,MIN(10,IF(E107="Sim",Legenda!$C$4,IF(E107="Parcial",Legenda!$C$5,0))+IF(F107="Sim",Legenda!$C$6,IF(F107="Parcial",Legenda!$C$7,0))+IF(G107="otool + Ghidra",Legenda!$C$8,IF(OR(G107="otool",G107="Ghidra",G107="Outro binário"),Legenda!$C$9,0))+MIN(Legenda!$C$11,MAX(0,J107-1)*Legenda!$C$10))),IF(H107="Parcial",MIN(Legenda!$C$13,MIN(10,IF(E107="Sim",Legenda!$C$4,IF(E107="Parcial",Legenda!$C$5,0))+IF(F107="Sim",Legenda!$C$6,IF(F107="Parcial",Legenda!$C$7,0))+IF(G107="otool + Ghidra",Legenda!$C$8,IF(OR(G107="otool",G107="Ghidra",G107="Outro binário"),Legenda!$C$9,0))+MIN(Legenda!$C$11,MAX(0,J107-1)*Legenda!$C$10))),MIN(10,IF(E107="Sim",Legenda!$C$4,IF(E107="Parcial",Legenda!$C$5,0))+IF(F107="Sim",Legenda!$C$6,IF(F107="Parcial",Legenda!$C$7,0))+IF(G107="otool + Ghidra",Legenda!$C$8,IF(OR(G107="otool",G107="Ghidra",G107="Outro binário"),Legenda!$C$9,0))+MIN(Legenda!$C$11,MAX(0,J107-1)*Legenda!$C$10)))),1)</f>
        <v/>
      </c>
      <c r="M107" s="67" t="inlineStr">
        <is>
          <t>B2a-rust-bebob-correlate.md</t>
        </is>
      </c>
      <c r="N107" s="67" t="inlineStr">
        <is>
          <t>—</t>
        </is>
      </c>
      <c r="O107" s="67" t="inlineStr">
        <is>
          <t>Valida a semântica, não os bytes de fio.</t>
        </is>
      </c>
      <c r="P107" s="69">
        <f>LEFT(A107,FIND(".",A107&amp;".")-1)</f>
        <v/>
      </c>
    </row>
    <row r="108" ht="22.35" customHeight="1" s="21">
      <c r="A108" s="65" t="inlineStr">
        <is>
          <t>B2a.2</t>
        </is>
      </c>
      <c r="B108" s="66" t="inlineStr">
        <is>
          <t>B2a</t>
        </is>
      </c>
      <c r="C108" s="67" t="inlineStr">
        <is>
          <t>Rust: clock e fone</t>
        </is>
      </c>
      <c r="D108" s="67" t="inlineStr">
        <is>
          <t>Fw1814ClkProtocol não seleciona fonte de clock; HeadphoneSource tem 3 valores.</t>
        </is>
      </c>
      <c r="E108" s="66" t="inlineStr">
        <is>
          <t>Não</t>
        </is>
      </c>
      <c r="F108" s="66" t="inlineStr">
        <is>
          <t>Não</t>
        </is>
      </c>
      <c r="G108" s="66" t="inlineStr">
        <is>
          <t>Nenhum</t>
        </is>
      </c>
      <c r="H108" s="66" t="inlineStr">
        <is>
          <t>Parcial</t>
        </is>
      </c>
      <c r="I108" s="67" t="inlineStr">
        <is>
          <t>Rust</t>
        </is>
      </c>
      <c r="J108" s="66">
        <f>IF(TRIM(I108)="",0,LEN(I108)-LEN(SUBSTITUTE(I108,";",""))+1)</f>
        <v/>
      </c>
      <c r="K108" s="67" t="inlineStr">
        <is>
          <t>Consistente</t>
        </is>
      </c>
      <c r="L108" s="68">
        <f>ROUND(IF(H108="Sim",MIN(Legenda!$C$12,MIN(10,IF(E108="Sim",Legenda!$C$4,IF(E108="Parcial",Legenda!$C$5,0))+IF(F108="Sim",Legenda!$C$6,IF(F108="Parcial",Legenda!$C$7,0))+IF(G108="otool + Ghidra",Legenda!$C$8,IF(OR(G108="otool",G108="Ghidra",G108="Outro binário"),Legenda!$C$9,0))+MIN(Legenda!$C$11,MAX(0,J108-1)*Legenda!$C$10))),IF(H108="Parcial",MIN(Legenda!$C$13,MIN(10,IF(E108="Sim",Legenda!$C$4,IF(E108="Parcial",Legenda!$C$5,0))+IF(F108="Sim",Legenda!$C$6,IF(F108="Parcial",Legenda!$C$7,0))+IF(G108="otool + Ghidra",Legenda!$C$8,IF(OR(G108="otool",G108="Ghidra",G108="Outro binário"),Legenda!$C$9,0))+MIN(Legenda!$C$11,MAX(0,J108-1)*Legenda!$C$10))),MIN(10,IF(E108="Sim",Legenda!$C$4,IF(E108="Parcial",Legenda!$C$5,0))+IF(F108="Sim",Legenda!$C$6,IF(F108="Parcial",Legenda!$C$7,0))+IF(G108="otool + Ghidra",Legenda!$C$8,IF(OR(G108="otool",G108="Ghidra",G108="Outro binário"),Legenda!$C$9,0))+MIN(Legenda!$C$11,MAX(0,J108-1)*Legenda!$C$10)))),1)</f>
        <v/>
      </c>
      <c r="M108" s="67" t="inlineStr">
        <is>
          <t>B2a-rust-bebob-correlate.md</t>
        </is>
      </c>
      <c r="N108" s="67" t="inlineStr">
        <is>
          <t>—</t>
        </is>
      </c>
      <c r="O108" s="67" t="inlineStr">
        <is>
          <t>A ausência no Rust não prova nada no macOS; o kext confirma clock via HSCI (A1-Q5).</t>
        </is>
      </c>
      <c r="P108" s="69">
        <f>LEFT(A108,FIND(".",A108&amp;".")-1)</f>
        <v/>
      </c>
    </row>
    <row r="109" ht="22.35" customHeight="1" s="21">
      <c r="A109" s="65" t="inlineStr">
        <is>
          <t>B3.1</t>
        </is>
      </c>
      <c r="B109" s="66" t="inlineStr">
        <is>
          <t>B3</t>
        </is>
      </c>
      <c r="C109" s="67" t="inlineStr">
        <is>
          <t>Hack do Sierra</t>
        </is>
      </c>
      <c r="D109" s="67" t="inlineStr">
        <is>
          <t>Divisão de plist; mesmo binário v1.10.5 (fatia x86_64 MD5 61a60a46…), não assinado.</t>
        </is>
      </c>
      <c r="E109" s="66" t="inlineStr">
        <is>
          <t>Sim</t>
        </is>
      </c>
      <c r="F109" s="66" t="inlineStr">
        <is>
          <t>Não</t>
        </is>
      </c>
      <c r="G109" s="66" t="inlineStr">
        <is>
          <t>Outro binário</t>
        </is>
      </c>
      <c r="H109" s="66" t="inlineStr">
        <is>
          <t>Não</t>
        </is>
      </c>
      <c r="I109" s="67" t="inlineStr">
        <is>
          <t>md5/lipo; codesign; plists</t>
        </is>
      </c>
      <c r="J109" s="66">
        <f>IF(TRIM(I109)="",0,LEN(I109)-LEN(SUBSTITUTE(I109,";",""))+1)</f>
        <v/>
      </c>
      <c r="K109" s="67" t="inlineStr">
        <is>
          <t>Corrigido 2026-10-14</t>
        </is>
      </c>
      <c r="L109" s="68">
        <f>ROUND(IF(H109="Sim",MIN(Legenda!$C$12,MIN(10,IF(E109="Sim",Legenda!$C$4,IF(E109="Parcial",Legenda!$C$5,0))+IF(F109="Sim",Legenda!$C$6,IF(F109="Parcial",Legenda!$C$7,0))+IF(G109="otool + Ghidra",Legenda!$C$8,IF(OR(G109="otool",G109="Ghidra",G109="Outro binário"),Legenda!$C$9,0))+MIN(Legenda!$C$11,MAX(0,J109-1)*Legenda!$C$10))),IF(H109="Parcial",MIN(Legenda!$C$13,MIN(10,IF(E109="Sim",Legenda!$C$4,IF(E109="Parcial",Legenda!$C$5,0))+IF(F109="Sim",Legenda!$C$6,IF(F109="Parcial",Legenda!$C$7,0))+IF(G109="otool + Ghidra",Legenda!$C$8,IF(OR(G109="otool",G109="Ghidra",G109="Outro binário"),Legenda!$C$9,0))+MIN(Legenda!$C$11,MAX(0,J109-1)*Legenda!$C$10))),MIN(10,IF(E109="Sim",Legenda!$C$4,IF(E109="Parcial",Legenda!$C$5,0))+IF(F109="Sim",Legenda!$C$6,IF(F109="Parcial",Legenda!$C$7,0))+IF(G109="otool + Ghidra",Legenda!$C$8,IF(OR(G109="otool",G109="Ghidra",G109="Outro binário"),Legenda!$C$9,0))+MIN(Legenda!$C$11,MAX(0,J109-1)*Legenda!$C$10)))),1)</f>
        <v/>
      </c>
      <c r="M109" s="67" t="inlineStr">
        <is>
          <t>B3-sierra-hack-delta.md §2, §9</t>
        </is>
      </c>
      <c r="N109" s="67" t="inlineStr">
        <is>
          <t>—</t>
        </is>
      </c>
      <c r="O109" s="67" t="inlineStr">
        <is>
          <t>Receita de MD5 corrigida (binário fat).</t>
        </is>
      </c>
      <c r="P109" s="69">
        <f>LEFT(A109,FIND(".",A109&amp;".")-1)</f>
        <v/>
      </c>
    </row>
    <row r="110" ht="22.35" customHeight="1" s="21">
      <c r="A110" s="65" t="inlineStr">
        <is>
          <t>B3.2</t>
        </is>
      </c>
      <c r="B110" s="66" t="inlineStr">
        <is>
          <t>B3</t>
        </is>
      </c>
      <c r="C110" s="67" t="inlineStr">
        <is>
          <t>Bloqueios #1 (UAKEL) e #2 (SHA-256 CMS)</t>
        </is>
      </c>
      <c r="D110" s="67" t="inlineStr">
        <is>
          <t>Kext não assinado não pode ser aprovado; assinatura SHA-1 antiga não atende o 10.13.5+.</t>
        </is>
      </c>
      <c r="E110" s="66" t="inlineStr">
        <is>
          <t>Parcial</t>
        </is>
      </c>
      <c r="F110" s="66" t="inlineStr">
        <is>
          <t>Não</t>
        </is>
      </c>
      <c r="G110" s="66" t="inlineStr">
        <is>
          <t>Outro binário</t>
        </is>
      </c>
      <c r="H110" s="66" t="inlineStr">
        <is>
          <t>Parcial</t>
        </is>
      </c>
      <c r="I110" s="67" t="inlineStr">
        <is>
          <t>codesign do bundle; conhecimento da política da Apple</t>
        </is>
      </c>
      <c r="J110" s="66">
        <f>IF(TRIM(I110)="",0,LEN(I110)-LEN(SUBSTITUTE(I110,";",""))+1)</f>
        <v/>
      </c>
      <c r="K110" s="67" t="inlineStr">
        <is>
          <t>Não auditado</t>
        </is>
      </c>
      <c r="L110" s="68">
        <f>ROUND(IF(H110="Sim",MIN(Legenda!$C$12,MIN(10,IF(E110="Sim",Legenda!$C$4,IF(E110="Parcial",Legenda!$C$5,0))+IF(F110="Sim",Legenda!$C$6,IF(F110="Parcial",Legenda!$C$7,0))+IF(G110="otool + Ghidra",Legenda!$C$8,IF(OR(G110="otool",G110="Ghidra",G110="Outro binário"),Legenda!$C$9,0))+MIN(Legenda!$C$11,MAX(0,J110-1)*Legenda!$C$10))),IF(H110="Parcial",MIN(Legenda!$C$13,MIN(10,IF(E110="Sim",Legenda!$C$4,IF(E110="Parcial",Legenda!$C$5,0))+IF(F110="Sim",Legenda!$C$6,IF(F110="Parcial",Legenda!$C$7,0))+IF(G110="otool + Ghidra",Legenda!$C$8,IF(OR(G110="otool",G110="Ghidra",G110="Outro binário"),Legenda!$C$9,0))+MIN(Legenda!$C$11,MAX(0,J110-1)*Legenda!$C$10))),MIN(10,IF(E110="Sim",Legenda!$C$4,IF(E110="Parcial",Legenda!$C$5,0))+IF(F110="Sim",Legenda!$C$6,IF(F110="Parcial",Legenda!$C$7,0))+IF(G110="otool + Ghidra",Legenda!$C$8,IF(OR(G110="otool",G110="Ghidra",G110="Outro binário"),Legenda!$C$9,0))+MIN(Legenda!$C$11,MAX(0,J110-1)*Legenda!$C$10)))),1)</f>
        <v/>
      </c>
      <c r="M110" s="67" t="inlineStr">
        <is>
          <t>B3 §5.1–5.2</t>
        </is>
      </c>
      <c r="N110" s="67" t="inlineStr">
        <is>
          <t>D:30</t>
        </is>
      </c>
      <c r="O110" s="67" t="inlineStr">
        <is>
          <t>Requisitos do 10.13.x sem citação de documento da Apple; testar no build PC se necessário.</t>
        </is>
      </c>
      <c r="P110" s="69">
        <f>LEFT(A110,FIND(".",A110&amp;".")-1)</f>
        <v/>
      </c>
    </row>
    <row r="111" ht="15" customHeight="1" s="21">
      <c r="A111" s="65" t="inlineStr">
        <is>
          <t>B3.3</t>
        </is>
      </c>
      <c r="B111" s="66" t="inlineStr">
        <is>
          <t>B3</t>
        </is>
      </c>
      <c r="C111" s="67" t="inlineStr">
        <is>
          <t>Bloqueio #3 (deriva de slots)</t>
        </is>
      </c>
      <c r="D111" s="67" t="inlineStr">
        <is>
          <t>Refutado: sem deriva em IOAudio/IOFireWire.</t>
        </is>
      </c>
      <c r="E111" s="66" t="inlineStr">
        <is>
          <t>Sim</t>
        </is>
      </c>
      <c r="F111" s="66" t="inlineStr">
        <is>
          <t>Não</t>
        </is>
      </c>
      <c r="G111" s="66" t="inlineStr">
        <is>
          <t>Outro binário</t>
        </is>
      </c>
      <c r="H111" s="66" t="inlineStr">
        <is>
          <t>Não</t>
        </is>
      </c>
      <c r="I111" s="67" t="inlineStr">
        <is>
          <t>Q-SDK</t>
        </is>
      </c>
      <c r="J111" s="66">
        <f>IF(TRIM(I111)="",0,LEN(I111)-LEN(SUBSTITUTE(I111,";",""))+1)</f>
        <v/>
      </c>
      <c r="K111" s="67" t="inlineStr">
        <is>
          <t>Corrigido 2026-10-14</t>
        </is>
      </c>
      <c r="L111" s="68">
        <f>ROUND(IF(H111="Sim",MIN(Legenda!$C$12,MIN(10,IF(E111="Sim",Legenda!$C$4,IF(E111="Parcial",Legenda!$C$5,0))+IF(F111="Sim",Legenda!$C$6,IF(F111="Parcial",Legenda!$C$7,0))+IF(G111="otool + Ghidra",Legenda!$C$8,IF(OR(G111="otool",G111="Ghidra",G111="Outro binário"),Legenda!$C$9,0))+MIN(Legenda!$C$11,MAX(0,J111-1)*Legenda!$C$10))),IF(H111="Parcial",MIN(Legenda!$C$13,MIN(10,IF(E111="Sim",Legenda!$C$4,IF(E111="Parcial",Legenda!$C$5,0))+IF(F111="Sim",Legenda!$C$6,IF(F111="Parcial",Legenda!$C$7,0))+IF(G111="otool + Ghidra",Legenda!$C$8,IF(OR(G111="otool",G111="Ghidra",G111="Outro binário"),Legenda!$C$9,0))+MIN(Legenda!$C$11,MAX(0,J111-1)*Legenda!$C$10))),MIN(10,IF(E111="Sim",Legenda!$C$4,IF(E111="Parcial",Legenda!$C$5,0))+IF(F111="Sim",Legenda!$C$6,IF(F111="Parcial",Legenda!$C$7,0))+IF(G111="otool + Ghidra",Legenda!$C$8,IF(OR(G111="otool",G111="Ghidra",G111="Outro binário"),Legenda!$C$9,0))+MIN(Legenda!$C$11,MAX(0,J111-1)*Legenda!$C$10)))),1)</f>
        <v/>
      </c>
      <c r="M111" s="67" t="inlineStr">
        <is>
          <t>B3 §5.3 Correction</t>
        </is>
      </c>
      <c r="N111" s="67" t="inlineStr">
        <is>
          <t>—</t>
        </is>
      </c>
      <c r="O111" s="67" t="inlineStr">
        <is>
          <t>—</t>
        </is>
      </c>
      <c r="P111" s="69">
        <f>LEFT(A111,FIND(".",A111&amp;".")-1)</f>
        <v/>
      </c>
    </row>
    <row r="112" ht="32.8" customHeight="1" s="21">
      <c r="A112" s="65" t="inlineStr">
        <is>
          <t>B4.1</t>
        </is>
      </c>
      <c r="B112" s="66" t="inlineStr">
        <is>
          <t>B4</t>
        </is>
      </c>
      <c r="C112" s="67" t="inlineStr">
        <is>
          <t>macfw</t>
        </is>
      </c>
      <c r="D112" s="67" t="inlineStr">
        <is>
          <t>Mesma janela de registros 0xFFC7:0x00700000; NuDCL em espaço de usuário; só envia o cue de boot da flash (0xffff:c8021000); sem ADAT nem seletor de clock.</t>
        </is>
      </c>
      <c r="E112" s="66" t="inlineStr">
        <is>
          <t>Não</t>
        </is>
      </c>
      <c r="F112" s="66" t="inlineStr">
        <is>
          <t>Não</t>
        </is>
      </c>
      <c r="G112" s="66" t="inlineStr">
        <is>
          <t>Nenhum</t>
        </is>
      </c>
      <c r="H112" s="66" t="inlineStr">
        <is>
          <t>Não</t>
        </is>
      </c>
      <c r="I112" s="67" t="inlineStr">
        <is>
          <t>macfw (_refs/macfw @054e08bb)</t>
        </is>
      </c>
      <c r="J112" s="66">
        <f>IF(TRIM(I112)="",0,LEN(I112)-LEN(SUBSTITUTE(I112,";",""))+1)</f>
        <v/>
      </c>
      <c r="K112" s="67" t="inlineStr">
        <is>
          <t>Corrigido 2026-10-14</t>
        </is>
      </c>
      <c r="L112" s="68">
        <f>ROUND(IF(H112="Sim",MIN(Legenda!$C$12,MIN(10,IF(E112="Sim",Legenda!$C$4,IF(E112="Parcial",Legenda!$C$5,0))+IF(F112="Sim",Legenda!$C$6,IF(F112="Parcial",Legenda!$C$7,0))+IF(G112="otool + Ghidra",Legenda!$C$8,IF(OR(G112="otool",G112="Ghidra",G112="Outro binário"),Legenda!$C$9,0))+MIN(Legenda!$C$11,MAX(0,J112-1)*Legenda!$C$10))),IF(H112="Parcial",MIN(Legenda!$C$13,MIN(10,IF(E112="Sim",Legenda!$C$4,IF(E112="Parcial",Legenda!$C$5,0))+IF(F112="Sim",Legenda!$C$6,IF(F112="Parcial",Legenda!$C$7,0))+IF(G112="otool + Ghidra",Legenda!$C$8,IF(OR(G112="otool",G112="Ghidra",G112="Outro binário"),Legenda!$C$9,0))+MIN(Legenda!$C$11,MAX(0,J112-1)*Legenda!$C$10))),MIN(10,IF(E112="Sim",Legenda!$C$4,IF(E112="Parcial",Legenda!$C$5,0))+IF(F112="Sim",Legenda!$C$6,IF(F112="Parcial",Legenda!$C$7,0))+IF(G112="otool + Ghidra",Legenda!$C$8,IF(OR(G112="otool",G112="Ghidra",G112="Outro binário"),Legenda!$C$9,0))+MIN(Legenda!$C$11,MAX(0,J112-1)*Legenda!$C$10)))),1)</f>
        <v/>
      </c>
      <c r="M112" s="67" t="inlineStr">
        <is>
          <t>B4-macfw-correlate.md</t>
        </is>
      </c>
      <c r="N112" s="67" t="inlineStr">
        <is>
          <t>B4:20,59,61,280</t>
        </is>
      </c>
      <c r="O112" s="67" t="inlineStr">
        <is>
          <t>'Plug map + stream-kick = verdade de hardware' vem só de terceiros. [2026-10-14] Bloco Correction inserido nos .md; evidência em docs/system-map/PROVENANCE-RESOLUTIONS.md.</t>
        </is>
      </c>
      <c r="P112" s="69">
        <f>LEFT(A112,FIND(".",A112&amp;".")-1)</f>
        <v/>
      </c>
    </row>
    <row r="113" ht="22.35" customHeight="1" s="21">
      <c r="A113" s="65" t="inlineStr">
        <is>
          <t>B5.1</t>
        </is>
      </c>
      <c r="B113" s="66" t="inlineStr">
        <is>
          <t>B5</t>
        </is>
      </c>
      <c r="C113" s="67" t="inlineStr">
        <is>
          <t>Painel e helper abrem UCs próprios</t>
        </is>
      </c>
      <c r="D113" s="67" t="inlineStr">
        <is>
          <t>Duas instâncias de FWUserClient (pid 64 helper, pid 172 painel).</t>
        </is>
      </c>
      <c r="E113" s="66" t="inlineStr">
        <is>
          <t>Não</t>
        </is>
      </c>
      <c r="F113" s="66" t="inlineStr">
        <is>
          <t>Sim</t>
        </is>
      </c>
      <c r="G113" s="66" t="inlineStr">
        <is>
          <t>Nenhum</t>
        </is>
      </c>
      <c r="H113" s="66" t="inlineStr">
        <is>
          <t>Não</t>
        </is>
      </c>
      <c r="I113" s="67" t="inlineStr">
        <is>
          <t>12-ioreg-full.txt:5807-5814 (v1.9); kext Q-UC</t>
        </is>
      </c>
      <c r="J113" s="66">
        <f>IF(TRIM(I113)="",0,LEN(I113)-LEN(SUBSTITUTE(I113,";",""))+1)</f>
        <v/>
      </c>
      <c r="K113" s="67" t="inlineStr">
        <is>
          <t>Consistente</t>
        </is>
      </c>
      <c r="L113" s="68">
        <f>ROUND(IF(H113="Sim",MIN(Legenda!$C$12,MIN(10,IF(E113="Sim",Legenda!$C$4,IF(E113="Parcial",Legenda!$C$5,0))+IF(F113="Sim",Legenda!$C$6,IF(F113="Parcial",Legenda!$C$7,0))+IF(G113="otool + Ghidra",Legenda!$C$8,IF(OR(G113="otool",G113="Ghidra",G113="Outro binário"),Legenda!$C$9,0))+MIN(Legenda!$C$11,MAX(0,J113-1)*Legenda!$C$10))),IF(H113="Parcial",MIN(Legenda!$C$13,MIN(10,IF(E113="Sim",Legenda!$C$4,IF(E113="Parcial",Legenda!$C$5,0))+IF(F113="Sim",Legenda!$C$6,IF(F113="Parcial",Legenda!$C$7,0))+IF(G113="otool + Ghidra",Legenda!$C$8,IF(OR(G113="otool",G113="Ghidra",G113="Outro binário"),Legenda!$C$9,0))+MIN(Legenda!$C$11,MAX(0,J113-1)*Legenda!$C$10))),MIN(10,IF(E113="Sim",Legenda!$C$4,IF(E113="Parcial",Legenda!$C$5,0))+IF(F113="Sim",Legenda!$C$6,IF(F113="Parcial",Legenda!$C$7,0))+IF(G113="otool + Ghidra",Legenda!$C$8,IF(OR(G113="otool",G113="Ghidra",G113="Outro binário"),Legenda!$C$9,0))+MIN(Legenda!$C$11,MAX(0,J113-1)*Legenda!$C$10)))),1)</f>
        <v/>
      </c>
      <c r="M113" s="67" t="inlineStr">
        <is>
          <t>B5-sl-dtrace-truth/README.md §3</t>
        </is>
      </c>
      <c r="N113" s="67" t="inlineStr">
        <is>
          <t>—</t>
        </is>
      </c>
      <c r="O113" s="67" t="inlineStr">
        <is>
          <t>Verificado (OK #25).</t>
        </is>
      </c>
      <c r="P113" s="69">
        <f>LEFT(A113,FIND(".",A113&amp;".")-1)</f>
        <v/>
      </c>
    </row>
    <row r="114" ht="22.35" customHeight="1" s="21">
      <c r="A114" s="65" t="inlineStr">
        <is>
          <t>B5.2</t>
        </is>
      </c>
      <c r="B114" s="66" t="inlineStr">
        <is>
          <t>B5</t>
        </is>
      </c>
      <c r="C114" s="67" t="inlineStr">
        <is>
          <t>Clock via setProperties</t>
        </is>
      </c>
      <c r="D114" s="67" t="inlineStr">
        <is>
          <t>MAClockSource composto (bitfield) enviado por IORegistryEntrySetCFProperties; não é IOAudioSelectorControl.</t>
        </is>
      </c>
      <c r="E114" s="66" t="inlineStr">
        <is>
          <t>Sim</t>
        </is>
      </c>
      <c r="F114" s="66" t="inlineStr">
        <is>
          <t>Sim</t>
        </is>
      </c>
      <c r="G114" s="66" t="inlineStr">
        <is>
          <t>otool + Ghidra</t>
        </is>
      </c>
      <c r="H114" s="66" t="inlineStr">
        <is>
          <t>Não</t>
        </is>
      </c>
      <c r="I114" s="67" t="inlineStr">
        <is>
          <t>capturas 60–69 (v1.9); asm SetClockSourceInternal; painel ChangeDigitalSourceAttribute</t>
        </is>
      </c>
      <c r="J114" s="66">
        <f>IF(TRIM(I114)="",0,LEN(I114)-LEN(SUBSTITUTE(I114,";",""))+1)</f>
        <v/>
      </c>
      <c r="K114" s="67" t="inlineStr">
        <is>
          <t>Corrigido 2026-10-14</t>
        </is>
      </c>
      <c r="L114" s="68">
        <f>ROUND(IF(H114="Sim",MIN(Legenda!$C$12,MIN(10,IF(E114="Sim",Legenda!$C$4,IF(E114="Parcial",Legenda!$C$5,0))+IF(F114="Sim",Legenda!$C$6,IF(F114="Parcial",Legenda!$C$7,0))+IF(G114="otool + Ghidra",Legenda!$C$8,IF(OR(G114="otool",G114="Ghidra",G114="Outro binário"),Legenda!$C$9,0))+MIN(Legenda!$C$11,MAX(0,J114-1)*Legenda!$C$10))),IF(H114="Parcial",MIN(Legenda!$C$13,MIN(10,IF(E114="Sim",Legenda!$C$4,IF(E114="Parcial",Legenda!$C$5,0))+IF(F114="Sim",Legenda!$C$6,IF(F114="Parcial",Legenda!$C$7,0))+IF(G114="otool + Ghidra",Legenda!$C$8,IF(OR(G114="otool",G114="Ghidra",G114="Outro binário"),Legenda!$C$9,0))+MIN(Legenda!$C$11,MAX(0,J114-1)*Legenda!$C$10))),MIN(10,IF(E114="Sim",Legenda!$C$4,IF(E114="Parcial",Legenda!$C$5,0))+IF(F114="Sim",Legenda!$C$6,IF(F114="Parcial",Legenda!$C$7,0))+IF(G114="otool + Ghidra",Legenda!$C$8,IF(OR(G114="otool",G114="Ghidra",G114="Outro binário"),Legenda!$C$9,0))+MIN(Legenda!$C$11,MAX(0,J114-1)*Legenda!$C$10)))),1)</f>
        <v/>
      </c>
      <c r="M114" s="67" t="inlineStr">
        <is>
          <t>B5 §4, §10</t>
        </is>
      </c>
      <c r="N114" s="67" t="inlineStr">
        <is>
          <t>—</t>
        </is>
      </c>
      <c r="O114" s="67" t="inlineStr">
        <is>
          <t>Notas do lado do kext em B5 §10 corrigidas (bytes 7/8/9).</t>
        </is>
      </c>
      <c r="P114" s="69">
        <f>LEFT(A114,FIND(".",A114&amp;".")-1)</f>
        <v/>
      </c>
    </row>
    <row r="115" ht="22.35" customHeight="1" s="21">
      <c r="A115" s="65" t="inlineStr">
        <is>
          <t>B5.3</t>
        </is>
      </c>
      <c r="B115" s="66" t="inlineStr">
        <is>
          <t>B5</t>
        </is>
      </c>
      <c r="C115" s="67" t="inlineStr">
        <is>
          <t>Caminho dos medidores</t>
        </is>
      </c>
      <c r="D115" s="67" t="inlineStr">
        <is>
          <t>O painel lê os picos da memória mapeada (clientMemoryForType(1)); zero tráfego MIG em 30 s.</t>
        </is>
      </c>
      <c r="E115" s="66" t="inlineStr">
        <is>
          <t>Sim</t>
        </is>
      </c>
      <c r="F115" s="66" t="inlineStr">
        <is>
          <t>Sim</t>
        </is>
      </c>
      <c r="G115" s="66" t="inlineStr">
        <is>
          <t>otool + Ghidra</t>
        </is>
      </c>
      <c r="H115" s="66" t="inlineStr">
        <is>
          <t>Não</t>
        </is>
      </c>
      <c r="I115" s="67" t="inlineStr">
        <is>
          <t>70-dtrace-meter-path.txt (v1.9); kext Q-UC §3</t>
        </is>
      </c>
      <c r="J115" s="66">
        <f>IF(TRIM(I115)="",0,LEN(I115)-LEN(SUBSTITUTE(I115,";",""))+1)</f>
        <v/>
      </c>
      <c r="K115" s="67" t="inlineStr">
        <is>
          <t>Consistente</t>
        </is>
      </c>
      <c r="L115" s="68">
        <f>ROUND(IF(H115="Sim",MIN(Legenda!$C$12,MIN(10,IF(E115="Sim",Legenda!$C$4,IF(E115="Parcial",Legenda!$C$5,0))+IF(F115="Sim",Legenda!$C$6,IF(F115="Parcial",Legenda!$C$7,0))+IF(G115="otool + Ghidra",Legenda!$C$8,IF(OR(G115="otool",G115="Ghidra",G115="Outro binário"),Legenda!$C$9,0))+MIN(Legenda!$C$11,MAX(0,J115-1)*Legenda!$C$10))),IF(H115="Parcial",MIN(Legenda!$C$13,MIN(10,IF(E115="Sim",Legenda!$C$4,IF(E115="Parcial",Legenda!$C$5,0))+IF(F115="Sim",Legenda!$C$6,IF(F115="Parcial",Legenda!$C$7,0))+IF(G115="otool + Ghidra",Legenda!$C$8,IF(OR(G115="otool",G115="Ghidra",G115="Outro binário"),Legenda!$C$9,0))+MIN(Legenda!$C$11,MAX(0,J115-1)*Legenda!$C$10))),MIN(10,IF(E115="Sim",Legenda!$C$4,IF(E115="Parcial",Legenda!$C$5,0))+IF(F115="Sim",Legenda!$C$6,IF(F115="Parcial",Legenda!$C$7,0))+IF(G115="otool + Ghidra",Legenda!$C$8,IF(OR(G115="otool",G115="Ghidra",G115="Outro binário"),Legenda!$C$9,0))+MIN(Legenda!$C$11,MAX(0,J115-1)*Legenda!$C$10)))),1)</f>
        <v/>
      </c>
      <c r="M115" s="67" t="inlineStr">
        <is>
          <t>B5 §11</t>
        </is>
      </c>
      <c r="N115" s="67" t="inlineStr">
        <is>
          <t>—</t>
        </is>
      </c>
      <c r="O115" s="67" t="inlineStr">
        <is>
          <t>—</t>
        </is>
      </c>
      <c r="P115" s="69">
        <f>LEFT(A115,FIND(".",A115&amp;".")-1)</f>
        <v/>
      </c>
    </row>
    <row r="116" ht="22.35" customHeight="1" s="21">
      <c r="A116" s="65" t="inlineStr">
        <is>
          <t>B5.4</t>
        </is>
      </c>
      <c r="B116" s="66" t="inlineStr">
        <is>
          <t>B5</t>
        </is>
      </c>
      <c r="C116" s="67" t="inlineStr">
        <is>
          <t>Playback independe do UC do fabricante</t>
        </is>
      </c>
      <c r="D116" s="67" t="inlineStr">
        <is>
          <t>O estado do FWEngine2 muda via IOAudioEngineUserClient; contagens de retain do UC do fabricante inalteradas.</t>
        </is>
      </c>
      <c r="E116" s="66" t="inlineStr">
        <is>
          <t>Não</t>
        </is>
      </c>
      <c r="F116" s="66" t="inlineStr">
        <is>
          <t>Sim</t>
        </is>
      </c>
      <c r="G116" s="66" t="inlineStr">
        <is>
          <t>Nenhum</t>
        </is>
      </c>
      <c r="H116" s="66" t="inlineStr">
        <is>
          <t>Não</t>
        </is>
      </c>
      <c r="I116" s="67" t="inlineStr">
        <is>
          <t>40-ioreg-playback.txt (v1.9)</t>
        </is>
      </c>
      <c r="J116" s="66">
        <f>IF(TRIM(I116)="",0,LEN(I116)-LEN(SUBSTITUTE(I116,";",""))+1)</f>
        <v/>
      </c>
      <c r="K116" s="67" t="inlineStr">
        <is>
          <t>Corrigido 2026-10-14</t>
        </is>
      </c>
      <c r="L116" s="68">
        <f>ROUND(IF(H116="Sim",MIN(Legenda!$C$12,MIN(10,IF(E116="Sim",Legenda!$C$4,IF(E116="Parcial",Legenda!$C$5,0))+IF(F116="Sim",Legenda!$C$6,IF(F116="Parcial",Legenda!$C$7,0))+IF(G116="otool + Ghidra",Legenda!$C$8,IF(OR(G116="otool",G116="Ghidra",G116="Outro binário"),Legenda!$C$9,0))+MIN(Legenda!$C$11,MAX(0,J116-1)*Legenda!$C$10))),IF(H116="Parcial",MIN(Legenda!$C$13,MIN(10,IF(E116="Sim",Legenda!$C$4,IF(E116="Parcial",Legenda!$C$5,0))+IF(F116="Sim",Legenda!$C$6,IF(F116="Parcial",Legenda!$C$7,0))+IF(G116="otool + Ghidra",Legenda!$C$8,IF(OR(G116="otool",G116="Ghidra",G116="Outro binário"),Legenda!$C$9,0))+MIN(Legenda!$C$11,MAX(0,J116-1)*Legenda!$C$10))),MIN(10,IF(E116="Sim",Legenda!$C$4,IF(E116="Parcial",Legenda!$C$5,0))+IF(F116="Sim",Legenda!$C$6,IF(F116="Parcial",Legenda!$C$7,0))+IF(G116="otool + Ghidra",Legenda!$C$8,IF(OR(G116="otool",G116="Ghidra",G116="Outro binário"),Legenda!$C$9,0))+MIN(Legenda!$C$11,MAX(0,J116-1)*Legenda!$C$10)))),1)</f>
        <v/>
      </c>
      <c r="M116" s="67" t="inlineStr">
        <is>
          <t>B5 §5; C1:145,228</t>
        </is>
      </c>
      <c r="N116" s="67" t="inlineStr">
        <is>
          <t>C1:145,228</t>
        </is>
      </c>
      <c r="O116" s="67" t="inlineStr">
        <is>
          <t>C1 cita faixa de linhas e retain errados. [2026-10-14] Bloco Correction inserido; resta verificação (ver Flags_auditoria / aba Painel). | Faixa de linhas de 40-ioreg-playback.txt (4287-4324) = 5 IOAudioControlUserClients verificada (flag C1-05 resolvida); retain do Panel varia (7/8) conforme o estado. R16</t>
        </is>
      </c>
      <c r="P116" s="69">
        <f>LEFT(A116,FIND(".",A116&amp;".")-1)</f>
        <v/>
      </c>
    </row>
    <row r="117" ht="22.35" customHeight="1" s="21">
      <c r="A117" s="65" t="inlineStr">
        <is>
          <t>B5.5</t>
        </is>
      </c>
      <c r="B117" s="66" t="inlineStr">
        <is>
          <t>B5</t>
        </is>
      </c>
      <c r="C117" s="67" t="inlineStr">
        <is>
          <t>Latência medida (44.1k / 48k)</t>
        </is>
      </c>
      <c r="D117" s="67" t="inlineStr">
        <is>
          <t>44.1k: SampleOffset 40 / OutputLatency 216 / Input 32; 48k: 48 / 231 / 32 (v1.9).</t>
        </is>
      </c>
      <c r="E117" s="66" t="inlineStr">
        <is>
          <t>Não</t>
        </is>
      </c>
      <c r="F117" s="66" t="inlineStr">
        <is>
          <t>Sim</t>
        </is>
      </c>
      <c r="G117" s="66" t="inlineStr">
        <is>
          <t>Nenhum</t>
        </is>
      </c>
      <c r="H117" s="66" t="inlineStr">
        <is>
          <t>Não</t>
        </is>
      </c>
      <c r="I117" s="67" t="inlineStr">
        <is>
          <t>12-ioreg-full.txt:3976+; 40-ioreg-playback.txt:4200+; 50-ioreg-logic-playback.txt:4242+</t>
        </is>
      </c>
      <c r="J117" s="66">
        <f>IF(TRIM(I117)="",0,LEN(I117)-LEN(SUBSTITUTE(I117,";",""))+1)</f>
        <v/>
      </c>
      <c r="K117" s="67" t="inlineStr">
        <is>
          <t>Corrigido 2026-10-14</t>
        </is>
      </c>
      <c r="L117" s="68">
        <f>ROUND(IF(H117="Sim",MIN(Legenda!$C$12,MIN(10,IF(E117="Sim",Legenda!$C$4,IF(E117="Parcial",Legenda!$C$5,0))+IF(F117="Sim",Legenda!$C$6,IF(F117="Parcial",Legenda!$C$7,0))+IF(G117="otool + Ghidra",Legenda!$C$8,IF(OR(G117="otool",G117="Ghidra",G117="Outro binário"),Legenda!$C$9,0))+MIN(Legenda!$C$11,MAX(0,J117-1)*Legenda!$C$10))),IF(H117="Parcial",MIN(Legenda!$C$13,MIN(10,IF(E117="Sim",Legenda!$C$4,IF(E117="Parcial",Legenda!$C$5,0))+IF(F117="Sim",Legenda!$C$6,IF(F117="Parcial",Legenda!$C$7,0))+IF(G117="otool + Ghidra",Legenda!$C$8,IF(OR(G117="otool",G117="Ghidra",G117="Outro binário"),Legenda!$C$9,0))+MIN(Legenda!$C$11,MAX(0,J117-1)*Legenda!$C$10))),MIN(10,IF(E117="Sim",Legenda!$C$4,IF(E117="Parcial",Legenda!$C$5,0))+IF(F117="Sim",Legenda!$C$6,IF(F117="Parcial",Legenda!$C$7,0))+IF(G117="otool + Ghidra",Legenda!$C$8,IF(OR(G117="otool",G117="Ghidra",G117="Outro binário"),Legenda!$C$9,0))+MIN(Legenda!$C$11,MAX(0,J117-1)*Legenda!$C$10)))),1)</f>
        <v/>
      </c>
      <c r="M117" s="67" t="inlineStr">
        <is>
          <t>B5 §7; C6</t>
        </is>
      </c>
      <c r="N117" s="67" t="inlineStr">
        <is>
          <t>C6:11,122</t>
        </is>
      </c>
      <c r="O117" s="67" t="inlineStr">
        <is>
          <t>C6 atribui ao v1.11.3. Faltam 88.2/96/176.4/192 kHz (Q-RATE-LATENCY). [2026-10-14] Bloco Correction inserido; resta verificação (ver Flags_auditoria / aba Painel). | Latencia medida no SL v1.9 em 44.1/48/88.2/96/176.4/192 kHz (captura 72); numeros sao do v1.9, nao do 1.11.3. R25</t>
        </is>
      </c>
      <c r="P117" s="69">
        <f>LEFT(A117,FIND(".",A117&amp;".")-1)</f>
        <v/>
      </c>
    </row>
    <row r="118" ht="22.35" customHeight="1" s="21">
      <c r="A118" s="65" t="inlineStr">
        <is>
          <t>B5.6</t>
        </is>
      </c>
      <c r="B118" s="66" t="inlineStr">
        <is>
          <t>B5</t>
        </is>
      </c>
      <c r="C118" s="67" t="inlineStr">
        <is>
          <t>Pânico do v1.9 em troca de taxa com stream ativo</t>
        </is>
      </c>
      <c r="D118" s="67" t="inlineStr">
        <is>
          <t>Page-fault no IOAudioFamily ao realocar o buffer.</t>
        </is>
      </c>
      <c r="E118" s="66" t="inlineStr">
        <is>
          <t>Não</t>
        </is>
      </c>
      <c r="F118" s="66" t="inlineStr">
        <is>
          <t>Sim</t>
        </is>
      </c>
      <c r="G118" s="66" t="inlineStr">
        <is>
          <t>Nenhum</t>
        </is>
      </c>
      <c r="H118" s="66" t="inlineStr">
        <is>
          <t>Não</t>
        </is>
      </c>
      <c r="I118" s="67" t="inlineStr">
        <is>
          <t>observação no SL (memória project_v19_rate_change_while_streaming_panics)</t>
        </is>
      </c>
      <c r="J118" s="66">
        <f>IF(TRIM(I118)="",0,LEN(I118)-LEN(SUBSTITUTE(I118,";",""))+1)</f>
        <v/>
      </c>
      <c r="K118" s="67" t="inlineStr">
        <is>
          <t>Aberto / não resolvido</t>
        </is>
      </c>
      <c r="L118" s="68">
        <f>ROUND(IF(H118="Sim",MIN(Legenda!$C$12,MIN(10,IF(E118="Sim",Legenda!$C$4,IF(E118="Parcial",Legenda!$C$5,0))+IF(F118="Sim",Legenda!$C$6,IF(F118="Parcial",Legenda!$C$7,0))+IF(G118="otool + Ghidra",Legenda!$C$8,IF(OR(G118="otool",G118="Ghidra",G118="Outro binário"),Legenda!$C$9,0))+MIN(Legenda!$C$11,MAX(0,J118-1)*Legenda!$C$10))),IF(H118="Parcial",MIN(Legenda!$C$13,MIN(10,IF(E118="Sim",Legenda!$C$4,IF(E118="Parcial",Legenda!$C$5,0))+IF(F118="Sim",Legenda!$C$6,IF(F118="Parcial",Legenda!$C$7,0))+IF(G118="otool + Ghidra",Legenda!$C$8,IF(OR(G118="otool",G118="Ghidra",G118="Outro binário"),Legenda!$C$9,0))+MIN(Legenda!$C$11,MAX(0,J118-1)*Legenda!$C$10))),MIN(10,IF(E118="Sim",Legenda!$C$4,IF(E118="Parcial",Legenda!$C$5,0))+IF(F118="Sim",Legenda!$C$6,IF(F118="Parcial",Legenda!$C$7,0))+IF(G118="otool + Ghidra",Legenda!$C$8,IF(OR(G118="otool",G118="Ghidra",G118="Outro binário"),Legenda!$C$9,0))+MIN(Legenda!$C$11,MAX(0,J118-1)*Legenda!$C$10)))),1)</f>
        <v/>
      </c>
      <c r="M118" s="67" t="inlineStr">
        <is>
          <t>C2 §3.3</t>
        </is>
      </c>
      <c r="N118" s="67" t="inlineStr">
        <is>
          <t>—</t>
        </is>
      </c>
      <c r="O118" s="67" t="inlineStr">
        <is>
          <t>Comportamento do v1.11.2 não verificado.</t>
        </is>
      </c>
      <c r="P118" s="69">
        <f>LEFT(A118,FIND(".",A118&amp;".")-1)</f>
        <v/>
      </c>
    </row>
    <row r="119" ht="15" customHeight="1" s="21">
      <c r="A119" s="65" t="inlineStr">
        <is>
          <t>B5.7</t>
        </is>
      </c>
      <c r="B119" s="66" t="inlineStr">
        <is>
          <t>B5</t>
        </is>
      </c>
      <c r="C119" s="67" t="inlineStr">
        <is>
          <t>UC multiplexado</t>
        </is>
      </c>
      <c r="D119" s="67" t="inlineStr">
        <is>
          <t>O mesmo FWUserClient atende painel + helper + 2× MIDIServer.</t>
        </is>
      </c>
      <c r="E119" s="66" t="inlineStr">
        <is>
          <t>Não</t>
        </is>
      </c>
      <c r="F119" s="66" t="inlineStr">
        <is>
          <t>Sim</t>
        </is>
      </c>
      <c r="G119" s="66" t="inlineStr">
        <is>
          <t>Nenhum</t>
        </is>
      </c>
      <c r="H119" s="66" t="inlineStr">
        <is>
          <t>Não</t>
        </is>
      </c>
      <c r="I119" s="67" t="inlineStr">
        <is>
          <t>12-ioreg-full.txt (v1.9)</t>
        </is>
      </c>
      <c r="J119" s="66">
        <f>IF(TRIM(I119)="",0,LEN(I119)-LEN(SUBSTITUTE(I119,";",""))+1)</f>
        <v/>
      </c>
      <c r="K119" s="67" t="inlineStr">
        <is>
          <t>Consistente</t>
        </is>
      </c>
      <c r="L119" s="68">
        <f>ROUND(IF(H119="Sim",MIN(Legenda!$C$12,MIN(10,IF(E119="Sim",Legenda!$C$4,IF(E119="Parcial",Legenda!$C$5,0))+IF(F119="Sim",Legenda!$C$6,IF(F119="Parcial",Legenda!$C$7,0))+IF(G119="otool + Ghidra",Legenda!$C$8,IF(OR(G119="otool",G119="Ghidra",G119="Outro binário"),Legenda!$C$9,0))+MIN(Legenda!$C$11,MAX(0,J119-1)*Legenda!$C$10))),IF(H119="Parcial",MIN(Legenda!$C$13,MIN(10,IF(E119="Sim",Legenda!$C$4,IF(E119="Parcial",Legenda!$C$5,0))+IF(F119="Sim",Legenda!$C$6,IF(F119="Parcial",Legenda!$C$7,0))+IF(G119="otool + Ghidra",Legenda!$C$8,IF(OR(G119="otool",G119="Ghidra",G119="Outro binário"),Legenda!$C$9,0))+MIN(Legenda!$C$11,MAX(0,J119-1)*Legenda!$C$10))),MIN(10,IF(E119="Sim",Legenda!$C$4,IF(E119="Parcial",Legenda!$C$5,0))+IF(F119="Sim",Legenda!$C$6,IF(F119="Parcial",Legenda!$C$7,0))+IF(G119="otool + Ghidra",Legenda!$C$8,IF(OR(G119="otool",G119="Ghidra",G119="Outro binário"),Legenda!$C$9,0))+MIN(Legenda!$C$11,MAX(0,J119-1)*Legenda!$C$10)))),1)</f>
        <v/>
      </c>
      <c r="M119" s="67" t="inlineStr">
        <is>
          <t>B5 §8</t>
        </is>
      </c>
      <c r="N119" s="67" t="inlineStr">
        <is>
          <t>—</t>
        </is>
      </c>
      <c r="O119" s="67" t="inlineStr">
        <is>
          <t>—</t>
        </is>
      </c>
      <c r="P119" s="69">
        <f>LEFT(A119,FIND(".",A119&amp;".")-1)</f>
        <v/>
      </c>
    </row>
    <row r="120" ht="22.35" customHeight="1" s="21">
      <c r="A120" s="65" t="inlineStr">
        <is>
          <t>STATE-KG.1</t>
        </is>
      </c>
      <c r="B120" s="66" t="inlineStr">
        <is>
          <t>STATE</t>
        </is>
      </c>
      <c r="C120" s="67" t="inlineStr">
        <is>
          <t>Model_IDs</t>
        </is>
      </c>
      <c r="D120" s="67" t="inlineStr">
        <is>
          <t>Runtime 0x10071, bootloader 0x10070 (Vendor 0x000D6C).</t>
        </is>
      </c>
      <c r="E120" s="66" t="inlineStr">
        <is>
          <t>Parcial</t>
        </is>
      </c>
      <c r="F120" s="66" t="inlineStr">
        <is>
          <t>Sim</t>
        </is>
      </c>
      <c r="G120" s="66" t="inlineStr">
        <is>
          <t>Outro binário</t>
        </is>
      </c>
      <c r="H120" s="66" t="inlineStr">
        <is>
          <t>Não</t>
        </is>
      </c>
      <c r="I120" s="67" t="inlineStr">
        <is>
          <t>FFADO special_avdevice.cpp:41; hardware; probe do kext</t>
        </is>
      </c>
      <c r="J120" s="66">
        <f>IF(TRIM(I120)="",0,LEN(I120)-LEN(SUBSTITUTE(I120,";",""))+1)</f>
        <v/>
      </c>
      <c r="K120" s="67" t="inlineStr">
        <is>
          <t>Consistente</t>
        </is>
      </c>
      <c r="L120" s="68">
        <f>ROUND(IF(H120="Sim",MIN(Legenda!$C$12,MIN(10,IF(E120="Sim",Legenda!$C$4,IF(E120="Parcial",Legenda!$C$5,0))+IF(F120="Sim",Legenda!$C$6,IF(F120="Parcial",Legenda!$C$7,0))+IF(G120="otool + Ghidra",Legenda!$C$8,IF(OR(G120="otool",G120="Ghidra",G120="Outro binário"),Legenda!$C$9,0))+MIN(Legenda!$C$11,MAX(0,J120-1)*Legenda!$C$10))),IF(H120="Parcial",MIN(Legenda!$C$13,MIN(10,IF(E120="Sim",Legenda!$C$4,IF(E120="Parcial",Legenda!$C$5,0))+IF(F120="Sim",Legenda!$C$6,IF(F120="Parcial",Legenda!$C$7,0))+IF(G120="otool + Ghidra",Legenda!$C$8,IF(OR(G120="otool",G120="Ghidra",G120="Outro binário"),Legenda!$C$9,0))+MIN(Legenda!$C$11,MAX(0,J120-1)*Legenda!$C$10))),MIN(10,IF(E120="Sim",Legenda!$C$4,IF(E120="Parcial",Legenda!$C$5,0))+IF(F120="Sim",Legenda!$C$6,IF(F120="Parcial",Legenda!$C$7,0))+IF(G120="otool + Ghidra",Legenda!$C$8,IF(OR(G120="otool",G120="Ghidra",G120="Outro binário"),Legenda!$C$9,0))+MIN(Legenda!$C$11,MAX(0,J120-1)*Legenda!$C$10)))),1)</f>
        <v/>
      </c>
      <c r="M120" s="67" t="inlineStr">
        <is>
          <t>docs/STATE.md §Known-good primitives</t>
        </is>
      </c>
      <c r="N120" s="67" t="inlineStr">
        <is>
          <t>—</t>
        </is>
      </c>
      <c r="O120" s="67" t="inlineStr">
        <is>
          <t>Não usar 0x10051.</t>
        </is>
      </c>
      <c r="P120" s="69">
        <f>LEFT(A120,FIND(".",A120&amp;".")-1)</f>
        <v/>
      </c>
    </row>
    <row r="121" ht="22.35" customHeight="1" s="21">
      <c r="A121" s="65" t="inlineStr">
        <is>
          <t>STATE-KG.2</t>
        </is>
      </c>
      <c r="B121" s="66" t="inlineStr">
        <is>
          <t>STATE</t>
        </is>
      </c>
      <c r="C121" s="67" t="inlineStr">
        <is>
          <t>Mapa de plugs</t>
        </is>
      </c>
      <c r="D121" s="67" t="inlineStr">
        <is>
          <t>2 oPCRs + 3 iPCRs; plug 0 = PCM.</t>
        </is>
      </c>
      <c r="E121" s="66" t="inlineStr">
        <is>
          <t>Não</t>
        </is>
      </c>
      <c r="F121" s="66" t="inlineStr">
        <is>
          <t>Sim</t>
        </is>
      </c>
      <c r="G121" s="66" t="inlineStr">
        <is>
          <t>Nenhum</t>
        </is>
      </c>
      <c r="H121" s="66" t="inlineStr">
        <is>
          <t>Não</t>
        </is>
      </c>
      <c r="I121" s="67" t="inlineStr">
        <is>
          <t>experimento no build PC (memória project_fw1814_plugs)</t>
        </is>
      </c>
      <c r="J121" s="66">
        <f>IF(TRIM(I121)="",0,LEN(I121)-LEN(SUBSTITUTE(I121,";",""))+1)</f>
        <v/>
      </c>
      <c r="K121" s="67" t="inlineStr">
        <is>
          <t>Não auditado</t>
        </is>
      </c>
      <c r="L121" s="68">
        <f>ROUND(IF(H121="Sim",MIN(Legenda!$C$12,MIN(10,IF(E121="Sim",Legenda!$C$4,IF(E121="Parcial",Legenda!$C$5,0))+IF(F121="Sim",Legenda!$C$6,IF(F121="Parcial",Legenda!$C$7,0))+IF(G121="otool + Ghidra",Legenda!$C$8,IF(OR(G121="otool",G121="Ghidra",G121="Outro binário"),Legenda!$C$9,0))+MIN(Legenda!$C$11,MAX(0,J121-1)*Legenda!$C$10))),IF(H121="Parcial",MIN(Legenda!$C$13,MIN(10,IF(E121="Sim",Legenda!$C$4,IF(E121="Parcial",Legenda!$C$5,0))+IF(F121="Sim",Legenda!$C$6,IF(F121="Parcial",Legenda!$C$7,0))+IF(G121="otool + Ghidra",Legenda!$C$8,IF(OR(G121="otool",G121="Ghidra",G121="Outro binário"),Legenda!$C$9,0))+MIN(Legenda!$C$11,MAX(0,J121-1)*Legenda!$C$10))),MIN(10,IF(E121="Sim",Legenda!$C$4,IF(E121="Parcial",Legenda!$C$5,0))+IF(F121="Sim",Legenda!$C$6,IF(F121="Parcial",Legenda!$C$7,0))+IF(G121="otool + Ghidra",Legenda!$C$8,IF(OR(G121="otool",G121="Ghidra",G121="Outro binário"),Legenda!$C$9,0))+MIN(Legenda!$C$11,MAX(0,J121-1)*Legenda!$C$10)))),1)</f>
        <v/>
      </c>
      <c r="M121" s="67" t="inlineStr">
        <is>
          <t>docs/STATE.md §Known-good primitives</t>
        </is>
      </c>
      <c r="N121" s="67" t="inlineStr">
        <is>
          <t>—</t>
        </is>
      </c>
      <c r="O121" s="67" t="inlineStr">
        <is>
          <t>O kext usa plug 0 (Q3a §3); a contagem de PCRs não foi lida do binário.</t>
        </is>
      </c>
      <c r="P121" s="69">
        <f>LEFT(A121,FIND(".",A121&amp;".")-1)</f>
        <v/>
      </c>
    </row>
    <row r="122" ht="15" customHeight="1" s="21">
      <c r="A122" s="65" t="inlineStr">
        <is>
          <t>STATE-KG.3</t>
        </is>
      </c>
      <c r="B122" s="66" t="inlineStr">
        <is>
          <t>STATE</t>
        </is>
      </c>
      <c r="C122" s="67" t="inlineStr">
        <is>
          <t>Escada de buffer</t>
        </is>
      </c>
      <c r="D122" s="67" t="inlineStr">
        <is>
          <t>64…4096 frames, padrão 512.</t>
        </is>
      </c>
      <c r="E122" s="66" t="inlineStr">
        <is>
          <t>Parcial</t>
        </is>
      </c>
      <c r="F122" s="66" t="inlineStr">
        <is>
          <t>Não</t>
        </is>
      </c>
      <c r="G122" s="66" t="inlineStr">
        <is>
          <t>Ghidra</t>
        </is>
      </c>
      <c r="H122" s="66" t="inlineStr">
        <is>
          <t>Não</t>
        </is>
      </c>
      <c r="I122" s="67" t="inlineStr">
        <is>
          <t>painel A2-P8; memória project_fw1814_buffer_sizes</t>
        </is>
      </c>
      <c r="J122" s="66">
        <f>IF(TRIM(I122)="",0,LEN(I122)-LEN(SUBSTITUTE(I122,";",""))+1)</f>
        <v/>
      </c>
      <c r="K122" s="67" t="inlineStr">
        <is>
          <t>Consistente</t>
        </is>
      </c>
      <c r="L122" s="68">
        <f>ROUND(IF(H122="Sim",MIN(Legenda!$C$12,MIN(10,IF(E122="Sim",Legenda!$C$4,IF(E122="Parcial",Legenda!$C$5,0))+IF(F122="Sim",Legenda!$C$6,IF(F122="Parcial",Legenda!$C$7,0))+IF(G122="otool + Ghidra",Legenda!$C$8,IF(OR(G122="otool",G122="Ghidra",G122="Outro binário"),Legenda!$C$9,0))+MIN(Legenda!$C$11,MAX(0,J122-1)*Legenda!$C$10))),IF(H122="Parcial",MIN(Legenda!$C$13,MIN(10,IF(E122="Sim",Legenda!$C$4,IF(E122="Parcial",Legenda!$C$5,0))+IF(F122="Sim",Legenda!$C$6,IF(F122="Parcial",Legenda!$C$7,0))+IF(G122="otool + Ghidra",Legenda!$C$8,IF(OR(G122="otool",G122="Ghidra",G122="Outro binário"),Legenda!$C$9,0))+MIN(Legenda!$C$11,MAX(0,J122-1)*Legenda!$C$10))),MIN(10,IF(E122="Sim",Legenda!$C$4,IF(E122="Parcial",Legenda!$C$5,0))+IF(F122="Sim",Legenda!$C$6,IF(F122="Parcial",Legenda!$C$7,0))+IF(G122="otool + Ghidra",Legenda!$C$8,IF(OR(G122="otool",G122="Ghidra",G122="Outro binário"),Legenda!$C$9,0))+MIN(Legenda!$C$11,MAX(0,J122-1)*Legenda!$C$10)))),1)</f>
        <v/>
      </c>
      <c r="M122" s="67" t="inlineStr">
        <is>
          <t>docs/STATE.md §Known-good; A2-P8</t>
        </is>
      </c>
      <c r="N122" s="67" t="inlineStr">
        <is>
          <t>—</t>
        </is>
      </c>
      <c r="O122" s="67" t="inlineStr">
        <is>
          <t>—</t>
        </is>
      </c>
      <c r="P122" s="69">
        <f>LEFT(A122,FIND(".",A122&amp;".")-1)</f>
        <v/>
      </c>
    </row>
    <row r="123" ht="15" customHeight="1" s="21">
      <c r="A123" s="65" t="inlineStr">
        <is>
          <t>STATE-KG.4</t>
        </is>
      </c>
      <c r="B123" s="66" t="inlineStr">
        <is>
          <t>STATE</t>
        </is>
      </c>
      <c r="C123" s="67" t="inlineStr">
        <is>
          <t>Taxas suportadas</t>
        </is>
      </c>
      <c r="D123" s="67" t="inlineStr">
        <is>
          <t>44.1–192 kHz, sempre 24 bits (32 kHz existe na tabela do kext).</t>
        </is>
      </c>
      <c r="E123" s="66" t="inlineStr">
        <is>
          <t>Sim</t>
        </is>
      </c>
      <c r="F123" s="66" t="inlineStr">
        <is>
          <t>Parcial</t>
        </is>
      </c>
      <c r="G123" s="66" t="inlineStr">
        <is>
          <t>otool</t>
        </is>
      </c>
      <c r="H123" s="66" t="inlineStr">
        <is>
          <t>Não</t>
        </is>
      </c>
      <c r="I123" s="67" t="inlineStr">
        <is>
          <t>tabela de taxas do kext; manual</t>
        </is>
      </c>
      <c r="J123" s="66">
        <f>IF(TRIM(I123)="",0,LEN(I123)-LEN(SUBSTITUTE(I123,";",""))+1)</f>
        <v/>
      </c>
      <c r="K123" s="67" t="inlineStr">
        <is>
          <t>Consistente</t>
        </is>
      </c>
      <c r="L123" s="68">
        <f>ROUND(IF(H123="Sim",MIN(Legenda!$C$12,MIN(10,IF(E123="Sim",Legenda!$C$4,IF(E123="Parcial",Legenda!$C$5,0))+IF(F123="Sim",Legenda!$C$6,IF(F123="Parcial",Legenda!$C$7,0))+IF(G123="otool + Ghidra",Legenda!$C$8,IF(OR(G123="otool",G123="Ghidra",G123="Outro binário"),Legenda!$C$9,0))+MIN(Legenda!$C$11,MAX(0,J123-1)*Legenda!$C$10))),IF(H123="Parcial",MIN(Legenda!$C$13,MIN(10,IF(E123="Sim",Legenda!$C$4,IF(E123="Parcial",Legenda!$C$5,0))+IF(F123="Sim",Legenda!$C$6,IF(F123="Parcial",Legenda!$C$7,0))+IF(G123="otool + Ghidra",Legenda!$C$8,IF(OR(G123="otool",G123="Ghidra",G123="Outro binário"),Legenda!$C$9,0))+MIN(Legenda!$C$11,MAX(0,J123-1)*Legenda!$C$10))),MIN(10,IF(E123="Sim",Legenda!$C$4,IF(E123="Parcial",Legenda!$C$5,0))+IF(F123="Sim",Legenda!$C$6,IF(F123="Parcial",Legenda!$C$7,0))+IF(G123="otool + Ghidra",Legenda!$C$8,IF(OR(G123="otool",G123="Ghidra",G123="Outro binário"),Legenda!$C$9,0))+MIN(Legenda!$C$11,MAX(0,J123-1)*Legenda!$C$10)))),1)</f>
        <v/>
      </c>
      <c r="M123" s="67" t="inlineStr">
        <is>
          <t>docs/STATE.md; Q15e</t>
        </is>
      </c>
      <c r="N123" s="67" t="inlineStr">
        <is>
          <t>—</t>
        </is>
      </c>
      <c r="O123" s="67" t="inlineStr">
        <is>
          <t>Exposição de 32 kHz ao CoreAudio não verificada.</t>
        </is>
      </c>
      <c r="P123" s="69">
        <f>LEFT(A123,FIND(".",A123&amp;".")-1)</f>
        <v/>
      </c>
    </row>
    <row r="124" ht="22.35" customHeight="1" s="21">
      <c r="A124" s="65" t="inlineStr">
        <is>
          <t>STATE-KG.5</t>
        </is>
      </c>
      <c r="B124" s="66" t="inlineStr">
        <is>
          <t>STATE</t>
        </is>
      </c>
      <c r="C124" s="67" t="inlineStr">
        <is>
          <t>Idle lock = TX AM824 contínuo</t>
        </is>
      </c>
      <c r="D124" s="67" t="inlineStr">
        <is>
          <t>O PLL trava contra o silêncio AM824 enviado pelo host (não NODATA).</t>
        </is>
      </c>
      <c r="E124" s="66" t="inlineStr">
        <is>
          <t>Parcial</t>
        </is>
      </c>
      <c r="F124" s="66" t="inlineStr">
        <is>
          <t>Parcial</t>
        </is>
      </c>
      <c r="G124" s="66" t="inlineStr">
        <is>
          <t>otool</t>
        </is>
      </c>
      <c r="H124" s="66" t="inlineStr">
        <is>
          <t>Parcial</t>
        </is>
      </c>
      <c r="I124" s="67" t="inlineStr">
        <is>
          <t>experimentos com o clone antigo; pre-fill 0xCF no kext</t>
        </is>
      </c>
      <c r="J124" s="66">
        <f>IF(TRIM(I124)="",0,LEN(I124)-LEN(SUBSTITUTE(I124,";",""))+1)</f>
        <v/>
      </c>
      <c r="K124" s="67" t="inlineStr">
        <is>
          <t>Não auditado</t>
        </is>
      </c>
      <c r="L124" s="68">
        <f>ROUND(IF(H124="Sim",MIN(Legenda!$C$12,MIN(10,IF(E124="Sim",Legenda!$C$4,IF(E124="Parcial",Legenda!$C$5,0))+IF(F124="Sim",Legenda!$C$6,IF(F124="Parcial",Legenda!$C$7,0))+IF(G124="otool + Ghidra",Legenda!$C$8,IF(OR(G124="otool",G124="Ghidra",G124="Outro binário"),Legenda!$C$9,0))+MIN(Legenda!$C$11,MAX(0,J124-1)*Legenda!$C$10))),IF(H124="Parcial",MIN(Legenda!$C$13,MIN(10,IF(E124="Sim",Legenda!$C$4,IF(E124="Parcial",Legenda!$C$5,0))+IF(F124="Sim",Legenda!$C$6,IF(F124="Parcial",Legenda!$C$7,0))+IF(G124="otool + Ghidra",Legenda!$C$8,IF(OR(G124="otool",G124="Ghidra",G124="Outro binário"),Legenda!$C$9,0))+MIN(Legenda!$C$11,MAX(0,J124-1)*Legenda!$C$10))),MIN(10,IF(E124="Sim",Legenda!$C$4,IF(E124="Parcial",Legenda!$C$5,0))+IF(F124="Sim",Legenda!$C$6,IF(F124="Parcial",Legenda!$C$7,0))+IF(G124="otool + Ghidra",Legenda!$C$8,IF(OR(G124="otool",G124="Ghidra",G124="Outro binário"),Legenda!$C$9,0))+MIN(Legenda!$C$11,MAX(0,J124-1)*Legenda!$C$10)))),1)</f>
        <v/>
      </c>
      <c r="M124" s="67" t="inlineStr">
        <is>
          <t>docs/STATE.md §Known-good; Q17</t>
        </is>
      </c>
      <c r="N124" s="67" t="inlineStr">
        <is>
          <t>—</t>
        </is>
      </c>
      <c r="O124" s="67" t="inlineStr">
        <is>
          <t>Teste dedicado no hardware.</t>
        </is>
      </c>
      <c r="P124" s="69">
        <f>LEFT(A124,FIND(".",A124&amp;".")-1)</f>
        <v/>
      </c>
    </row>
    <row r="125" ht="22.35" customHeight="1" s="21">
      <c r="A125" s="65" t="inlineStr">
        <is>
          <t>STATE-KG.6</t>
        </is>
      </c>
      <c r="B125" s="66" t="inlineStr">
        <is>
          <t>STATE</t>
        </is>
      </c>
      <c r="C125" s="67" t="inlineStr">
        <is>
          <t>Knobs frontais são encoders</t>
        </is>
      </c>
      <c r="D125" s="67" t="inlineStr">
        <is>
          <t>HP1/HP2/Main são encoders rotativos digitais; só o ganho mic/inst é analógico.</t>
        </is>
      </c>
      <c r="E125" s="66" t="inlineStr">
        <is>
          <t>Parcial</t>
        </is>
      </c>
      <c r="F125" s="66" t="inlineStr">
        <is>
          <t>Sim</t>
        </is>
      </c>
      <c r="G125" s="66" t="inlineStr">
        <is>
          <t>Ghidra</t>
        </is>
      </c>
      <c r="H125" s="66" t="inlineStr">
        <is>
          <t>Não</t>
        </is>
      </c>
      <c r="I125" s="67" t="inlineStr">
        <is>
          <t>manual; kext ReceiveControlPacket (TRotaryControl +0x2c8/+0x2cc)</t>
        </is>
      </c>
      <c r="J125" s="66">
        <f>IF(TRIM(I125)="",0,LEN(I125)-LEN(SUBSTITUTE(I125,";",""))+1)</f>
        <v/>
      </c>
      <c r="K125" s="67" t="inlineStr">
        <is>
          <t>Consistente</t>
        </is>
      </c>
      <c r="L125" s="68">
        <f>ROUND(IF(H125="Sim",MIN(Legenda!$C$12,MIN(10,IF(E125="Sim",Legenda!$C$4,IF(E125="Parcial",Legenda!$C$5,0))+IF(F125="Sim",Legenda!$C$6,IF(F125="Parcial",Legenda!$C$7,0))+IF(G125="otool + Ghidra",Legenda!$C$8,IF(OR(G125="otool",G125="Ghidra",G125="Outro binário"),Legenda!$C$9,0))+MIN(Legenda!$C$11,MAX(0,J125-1)*Legenda!$C$10))),IF(H125="Parcial",MIN(Legenda!$C$13,MIN(10,IF(E125="Sim",Legenda!$C$4,IF(E125="Parcial",Legenda!$C$5,0))+IF(F125="Sim",Legenda!$C$6,IF(F125="Parcial",Legenda!$C$7,0))+IF(G125="otool + Ghidra",Legenda!$C$8,IF(OR(G125="otool",G125="Ghidra",G125="Outro binário"),Legenda!$C$9,0))+MIN(Legenda!$C$11,MAX(0,J125-1)*Legenda!$C$10))),MIN(10,IF(E125="Sim",Legenda!$C$4,IF(E125="Parcial",Legenda!$C$5,0))+IF(F125="Sim",Legenda!$C$6,IF(F125="Parcial",Legenda!$C$7,0))+IF(G125="otool + Ghidra",Legenda!$C$8,IF(OR(G125="otool",G125="Ghidra",G125="Outro binário"),Legenda!$C$9,0))+MIN(Legenda!$C$11,MAX(0,J125-1)*Legenda!$C$10)))),1)</f>
        <v/>
      </c>
      <c r="M125" s="67" t="inlineStr">
        <is>
          <t>docs/STATE.md (memória); Q-UC §3</t>
        </is>
      </c>
      <c r="N125" s="67" t="inlineStr">
        <is>
          <t>—</t>
        </is>
      </c>
      <c r="O125" s="67" t="inlineStr">
        <is>
          <t>—</t>
        </is>
      </c>
      <c r="P125" s="69">
        <f>LEFT(A125,FIND(".",A125&amp;".")-1)</f>
        <v/>
      </c>
    </row>
    <row r="126" ht="22.35" customHeight="1" s="21">
      <c r="A126" s="65" t="inlineStr">
        <is>
          <t>C1.1</t>
        </is>
      </c>
      <c r="B126" s="66" t="inlineStr">
        <is>
          <t>C1</t>
        </is>
      </c>
      <c r="C126" s="67" t="inlineStr">
        <is>
          <t>Máquina de estados do ciclo de vida</t>
        </is>
      </c>
      <c r="D126" s="67" t="inlineStr">
        <is>
          <t>Grafo de 12 estados com transições IOKit/FCP/HSCI.</t>
        </is>
      </c>
      <c r="E126" s="66" t="inlineStr">
        <is>
          <t>Parcial</t>
        </is>
      </c>
      <c r="F126" s="66" t="inlineStr">
        <is>
          <t>Parcial</t>
        </is>
      </c>
      <c r="G126" s="66" t="inlineStr">
        <is>
          <t>otool + Ghidra</t>
        </is>
      </c>
      <c r="H126" s="66" t="inlineStr">
        <is>
          <t>Parcial</t>
        </is>
      </c>
      <c r="I126" s="67" t="inlineStr">
        <is>
          <t>síntese de A1/B5</t>
        </is>
      </c>
      <c r="J126" s="66">
        <f>IF(TRIM(I126)="",0,LEN(I126)-LEN(SUBSTITUTE(I126,";",""))+1)</f>
        <v/>
      </c>
      <c r="K126" s="67" t="inlineStr">
        <is>
          <t>Corrigido 2026-10-14</t>
        </is>
      </c>
      <c r="L126" s="68">
        <f>ROUND(IF(H126="Sim",MIN(Legenda!$C$12,MIN(10,IF(E126="Sim",Legenda!$C$4,IF(E126="Parcial",Legenda!$C$5,0))+IF(F126="Sim",Legenda!$C$6,IF(F126="Parcial",Legenda!$C$7,0))+IF(G126="otool + Ghidra",Legenda!$C$8,IF(OR(G126="otool",G126="Ghidra",G126="Outro binário"),Legenda!$C$9,0))+MIN(Legenda!$C$11,MAX(0,J126-1)*Legenda!$C$10))),IF(H126="Parcial",MIN(Legenda!$C$13,MIN(10,IF(E126="Sim",Legenda!$C$4,IF(E126="Parcial",Legenda!$C$5,0))+IF(F126="Sim",Legenda!$C$6,IF(F126="Parcial",Legenda!$C$7,0))+IF(G126="otool + Ghidra",Legenda!$C$8,IF(OR(G126="otool",G126="Ghidra",G126="Outro binário"),Legenda!$C$9,0))+MIN(Legenda!$C$11,MAX(0,J126-1)*Legenda!$C$10))),MIN(10,IF(E126="Sim",Legenda!$C$4,IF(E126="Parcial",Legenda!$C$5,0))+IF(F126="Sim",Legenda!$C$6,IF(F126="Parcial",Legenda!$C$7,0))+IF(G126="otool + Ghidra",Legenda!$C$8,IF(OR(G126="otool",G126="Ghidra",G126="Outro binário"),Legenda!$C$9,0))+MIN(Legenda!$C$11,MAX(0,J126-1)*Legenda!$C$10)))),1)</f>
        <v/>
      </c>
      <c r="M126" s="67" t="inlineStr">
        <is>
          <t>C1-lifecycle-state-machine.md</t>
        </is>
      </c>
      <c r="N126" s="67" t="inlineStr">
        <is>
          <t>12 flags (9 cat. 4)</t>
        </is>
      </c>
      <c r="O126" s="67" t="inlineStr">
        <is>
          <t>Aplicar: stream-kick, FirmwareHalt, ReconnectP2P, slots ce0/af8, TX de 64 segmentos, deriva de slots. [2026-10-14] Bloco Correction inserido nos .md; evidência em docs/system-map/PROVENANCE-RESOLUTIONS.md.</t>
        </is>
      </c>
      <c r="P126" s="69">
        <f>LEFT(A126,FIND(".",A126&amp;".")-1)</f>
        <v/>
      </c>
    </row>
    <row r="127" ht="22.35" customHeight="1" s="21">
      <c r="A127" s="65" t="inlineStr">
        <is>
          <t>C2.1</t>
        </is>
      </c>
      <c r="B127" s="66" t="inlineStr">
        <is>
          <t>C2</t>
        </is>
      </c>
      <c r="C127" s="67" t="inlineStr">
        <is>
          <t>Caminho de sync</t>
        </is>
      </c>
      <c r="D127" s="67" t="inlineStr">
        <is>
          <t>Fonte de clock → PLL → taxa → cycle timer → contador do CoreAudio.</t>
        </is>
      </c>
      <c r="E127" s="66" t="inlineStr">
        <is>
          <t>Parcial</t>
        </is>
      </c>
      <c r="F127" s="66" t="inlineStr">
        <is>
          <t>Parcial</t>
        </is>
      </c>
      <c r="G127" s="66" t="inlineStr">
        <is>
          <t>otool + Ghidra</t>
        </is>
      </c>
      <c r="H127" s="66" t="inlineStr">
        <is>
          <t>Parcial</t>
        </is>
      </c>
      <c r="I127" s="67" t="inlineStr">
        <is>
          <t>síntese; muitos endereços verificados</t>
        </is>
      </c>
      <c r="J127" s="66">
        <f>IF(TRIM(I127)="",0,LEN(I127)-LEN(SUBSTITUTE(I127,";",""))+1)</f>
        <v/>
      </c>
      <c r="K127" s="67" t="inlineStr">
        <is>
          <t>Corrigido 2026-10-14</t>
        </is>
      </c>
      <c r="L127" s="68">
        <f>ROUND(IF(H127="Sim",MIN(Legenda!$C$12,MIN(10,IF(E127="Sim",Legenda!$C$4,IF(E127="Parcial",Legenda!$C$5,0))+IF(F127="Sim",Legenda!$C$6,IF(F127="Parcial",Legenda!$C$7,0))+IF(G127="otool + Ghidra",Legenda!$C$8,IF(OR(G127="otool",G127="Ghidra",G127="Outro binário"),Legenda!$C$9,0))+MIN(Legenda!$C$11,MAX(0,J127-1)*Legenda!$C$10))),IF(H127="Parcial",MIN(Legenda!$C$13,MIN(10,IF(E127="Sim",Legenda!$C$4,IF(E127="Parcial",Legenda!$C$5,0))+IF(F127="Sim",Legenda!$C$6,IF(F127="Parcial",Legenda!$C$7,0))+IF(G127="otool + Ghidra",Legenda!$C$8,IF(OR(G127="otool",G127="Ghidra",G127="Outro binário"),Legenda!$C$9,0))+MIN(Legenda!$C$11,MAX(0,J127-1)*Legenda!$C$10))),MIN(10,IF(E127="Sim",Legenda!$C$4,IF(E127="Parcial",Legenda!$C$5,0))+IF(F127="Sim",Legenda!$C$6,IF(F127="Parcial",Legenda!$C$7,0))+IF(G127="otool + Ghidra",Legenda!$C$8,IF(OR(G127="otool",G127="Ghidra",G127="Outro binário"),Legenda!$C$9,0))+MIN(Legenda!$C$11,MAX(0,J127-1)*Legenda!$C$10)))),1)</f>
        <v/>
      </c>
      <c r="M127" s="67" t="inlineStr">
        <is>
          <t>C2-sync-path.md</t>
        </is>
      </c>
      <c r="N127" s="67" t="inlineStr">
        <is>
          <t>12 flags (7 cat. 4)</t>
        </is>
      </c>
      <c r="O127" s="67" t="inlineStr">
        <is>
          <t>Tabela de taxas §5, CIP h1, vt[0xbe0], slots, interrupção OHCI. [2026-10-14] Bloco Correction inserido; resta verificação (ver Flags_auditoria / aba Painel). [2026-10-14, R35] Doc consolidado (P5): texto antigo removido/ corrigido; pendências verificáveis só com hardware seguem rotuladas como não verificadas e as flags AUD abertas correspondentes permanecem abertas.</t>
        </is>
      </c>
      <c r="P127" s="69">
        <f>LEFT(A127,FIND(".",A127&amp;".")-1)</f>
        <v/>
      </c>
    </row>
    <row r="128" ht="22.35" customHeight="1" s="21">
      <c r="A128" s="65" t="inlineStr">
        <is>
          <t>C3.1</t>
        </is>
      </c>
      <c r="B128" s="66" t="inlineStr">
        <is>
          <t>C3</t>
        </is>
      </c>
      <c r="C128" s="67" t="inlineStr">
        <is>
          <t>Caminho de comunicação</t>
        </is>
      </c>
      <c r="D128" s="67" t="inlineStr">
        <is>
          <t>Fila FCP, envelope HSCI, notificações, serialização.</t>
        </is>
      </c>
      <c r="E128" s="66" t="inlineStr">
        <is>
          <t>Parcial</t>
        </is>
      </c>
      <c r="F128" s="66" t="inlineStr">
        <is>
          <t>Parcial</t>
        </is>
      </c>
      <c r="G128" s="66" t="inlineStr">
        <is>
          <t>otool + Ghidra</t>
        </is>
      </c>
      <c r="H128" s="66" t="inlineStr">
        <is>
          <t>Parcial</t>
        </is>
      </c>
      <c r="I128" s="67" t="inlineStr">
        <is>
          <t>síntese</t>
        </is>
      </c>
      <c r="J128" s="66">
        <f>IF(TRIM(I128)="",0,LEN(I128)-LEN(SUBSTITUTE(I128,";",""))+1)</f>
        <v/>
      </c>
      <c r="K128" s="67" t="inlineStr">
        <is>
          <t>Corrigido 2026-10-14</t>
        </is>
      </c>
      <c r="L128" s="68">
        <f>ROUND(IF(H128="Sim",MIN(Legenda!$C$12,MIN(10,IF(E128="Sim",Legenda!$C$4,IF(E128="Parcial",Legenda!$C$5,0))+IF(F128="Sim",Legenda!$C$6,IF(F128="Parcial",Legenda!$C$7,0))+IF(G128="otool + Ghidra",Legenda!$C$8,IF(OR(G128="otool",G128="Ghidra",G128="Outro binário"),Legenda!$C$9,0))+MIN(Legenda!$C$11,MAX(0,J128-1)*Legenda!$C$10))),IF(H128="Parcial",MIN(Legenda!$C$13,MIN(10,IF(E128="Sim",Legenda!$C$4,IF(E128="Parcial",Legenda!$C$5,0))+IF(F128="Sim",Legenda!$C$6,IF(F128="Parcial",Legenda!$C$7,0))+IF(G128="otool + Ghidra",Legenda!$C$8,IF(OR(G128="otool",G128="Ghidra",G128="Outro binário"),Legenda!$C$9,0))+MIN(Legenda!$C$11,MAX(0,J128-1)*Legenda!$C$10))),MIN(10,IF(E128="Sim",Legenda!$C$4,IF(E128="Parcial",Legenda!$C$5,0))+IF(F128="Sim",Legenda!$C$6,IF(F128="Parcial",Legenda!$C$7,0))+IF(G128="otool + Ghidra",Legenda!$C$8,IF(OR(G128="otool",G128="Ghidra",G128="Outro binário"),Legenda!$C$9,0))+MIN(Legenda!$C$11,MAX(0,J128-1)*Legenda!$C$10)))),1)</f>
        <v/>
      </c>
      <c r="M128" s="67" t="inlineStr">
        <is>
          <t>C3-comm-path.md</t>
        </is>
      </c>
      <c r="N128" s="67" t="inlineStr">
        <is>
          <t>14 flags (9 cat. 4)</t>
        </is>
      </c>
      <c r="O128" s="67" t="inlineStr">
        <is>
          <t>HSCI de 16 bytes, thread do HSCI, notificações, página de medidores, seletores. [2026-10-14] Bloco Correction inserido; resta verificação (ver Flags_auditoria / aba Painel). [2026-10-14, R35] Doc consolidado (P5): texto antigo removido/ corrigido; pendências verificáveis só com hardware seguem rotuladas como não verificadas e as flags AUD abertas correspondentes permanecem abertas.</t>
        </is>
      </c>
      <c r="P128" s="69">
        <f>LEFT(A128,FIND(".",A128&amp;".")-1)</f>
        <v/>
      </c>
    </row>
    <row r="129" ht="22.35" customHeight="1" s="21">
      <c r="A129" s="65" t="inlineStr">
        <is>
          <t>C4.1</t>
        </is>
      </c>
      <c r="B129" s="66" t="inlineStr">
        <is>
          <t>C4</t>
        </is>
      </c>
      <c r="C129" s="67" t="inlineStr">
        <is>
          <t>Transporte e controle</t>
        </is>
      </c>
      <c r="D129" s="67" t="inlineStr">
        <is>
          <t>CMP/PCR, anéis DCL, escada de buffer, coreografia de formato.</t>
        </is>
      </c>
      <c r="E129" s="66" t="inlineStr">
        <is>
          <t>Parcial</t>
        </is>
      </c>
      <c r="F129" s="66" t="inlineStr">
        <is>
          <t>Não</t>
        </is>
      </c>
      <c r="G129" s="66" t="inlineStr">
        <is>
          <t>otool + Ghidra</t>
        </is>
      </c>
      <c r="H129" s="66" t="inlineStr">
        <is>
          <t>Parcial</t>
        </is>
      </c>
      <c r="I129" s="67" t="inlineStr">
        <is>
          <t>síntese</t>
        </is>
      </c>
      <c r="J129" s="66">
        <f>IF(TRIM(I129)="",0,LEN(I129)-LEN(SUBSTITUTE(I129,";",""))+1)</f>
        <v/>
      </c>
      <c r="K129" s="67" t="inlineStr">
        <is>
          <t>Corrigido 2026-10-14</t>
        </is>
      </c>
      <c r="L129" s="68">
        <f>ROUND(IF(H129="Sim",MIN(Legenda!$C$12,MIN(10,IF(E129="Sim",Legenda!$C$4,IF(E129="Parcial",Legenda!$C$5,0))+IF(F129="Sim",Legenda!$C$6,IF(F129="Parcial",Legenda!$C$7,0))+IF(G129="otool + Ghidra",Legenda!$C$8,IF(OR(G129="otool",G129="Ghidra",G129="Outro binário"),Legenda!$C$9,0))+MIN(Legenda!$C$11,MAX(0,J129-1)*Legenda!$C$10))),IF(H129="Parcial",MIN(Legenda!$C$13,MIN(10,IF(E129="Sim",Legenda!$C$4,IF(E129="Parcial",Legenda!$C$5,0))+IF(F129="Sim",Legenda!$C$6,IF(F129="Parcial",Legenda!$C$7,0))+IF(G129="otool + Ghidra",Legenda!$C$8,IF(OR(G129="otool",G129="Ghidra",G129="Outro binário"),Legenda!$C$9,0))+MIN(Legenda!$C$11,MAX(0,J129-1)*Legenda!$C$10))),MIN(10,IF(E129="Sim",Legenda!$C$4,IF(E129="Parcial",Legenda!$C$5,0))+IF(F129="Sim",Legenda!$C$6,IF(F129="Parcial",Legenda!$C$7,0))+IF(G129="otool + Ghidra",Legenda!$C$8,IF(OR(G129="otool",G129="Ghidra",G129="Outro binário"),Legenda!$C$9,0))+MIN(Legenda!$C$11,MAX(0,J129-1)*Legenda!$C$10)))),1)</f>
        <v/>
      </c>
      <c r="M129" s="67" t="inlineStr">
        <is>
          <t>C4-transport-control-path.md</t>
        </is>
      </c>
      <c r="N129" s="67" t="inlineStr">
        <is>
          <t>17 flags (9 cat. 4)</t>
        </is>
      </c>
      <c r="O129" s="67" t="inlineStr">
        <is>
          <t>Barreiras b00/b10, stream-kick (inclui troca INPUT/OUTPUT nas linhas 511-513), opcodes DCL. [2026-10-14] Bloco Correction inserido; resta verificação (ver Flags_auditoria / aba Painel). [2026-10-14, R35] Doc consolidado (P5): texto antigo removido/ corrigido; pendências verificáveis só com hardware seguem rotuladas como não verificadas e as flags AUD abertas correspondentes permanecem abertas.</t>
        </is>
      </c>
      <c r="P129" s="69">
        <f>LEFT(A129,FIND(".",A129&amp;".")-1)</f>
        <v/>
      </c>
    </row>
    <row r="130" ht="22.35" customHeight="1" s="21">
      <c r="A130" s="65" t="inlineStr">
        <is>
          <t>C5.1</t>
        </is>
      </c>
      <c r="B130" s="66" t="inlineStr">
        <is>
          <t>C5</t>
        </is>
      </c>
      <c r="C130" s="67" t="inlineStr">
        <is>
          <t>Superfície do user-client</t>
        </is>
      </c>
      <c r="D130" s="67" t="inlineStr">
        <is>
          <t>Seletores, KIPC, memória compartilhada.</t>
        </is>
      </c>
      <c r="E130" s="66" t="inlineStr">
        <is>
          <t>Parcial</t>
        </is>
      </c>
      <c r="F130" s="66" t="inlineStr">
        <is>
          <t>Parcial</t>
        </is>
      </c>
      <c r="G130" s="66" t="inlineStr">
        <is>
          <t>otool + Ghidra</t>
        </is>
      </c>
      <c r="H130" s="66" t="inlineStr">
        <is>
          <t>Parcial</t>
        </is>
      </c>
      <c r="I130" s="67" t="inlineStr">
        <is>
          <t>síntese</t>
        </is>
      </c>
      <c r="J130" s="66">
        <f>IF(TRIM(I130)="",0,LEN(I130)-LEN(SUBSTITUTE(I130,";",""))+1)</f>
        <v/>
      </c>
      <c r="K130" s="67" t="inlineStr">
        <is>
          <t>Corrigido 2026-10-14</t>
        </is>
      </c>
      <c r="L130" s="68">
        <f>ROUND(IF(H130="Sim",MIN(Legenda!$C$12,MIN(10,IF(E130="Sim",Legenda!$C$4,IF(E130="Parcial",Legenda!$C$5,0))+IF(F130="Sim",Legenda!$C$6,IF(F130="Parcial",Legenda!$C$7,0))+IF(G130="otool + Ghidra",Legenda!$C$8,IF(OR(G130="otool",G130="Ghidra",G130="Outro binário"),Legenda!$C$9,0))+MIN(Legenda!$C$11,MAX(0,J130-1)*Legenda!$C$10))),IF(H130="Parcial",MIN(Legenda!$C$13,MIN(10,IF(E130="Sim",Legenda!$C$4,IF(E130="Parcial",Legenda!$C$5,0))+IF(F130="Sim",Legenda!$C$6,IF(F130="Parcial",Legenda!$C$7,0))+IF(G130="otool + Ghidra",Legenda!$C$8,IF(OR(G130="otool",G130="Ghidra",G130="Outro binário"),Legenda!$C$9,0))+MIN(Legenda!$C$11,MAX(0,J130-1)*Legenda!$C$10))),MIN(10,IF(E130="Sim",Legenda!$C$4,IF(E130="Parcial",Legenda!$C$5,0))+IF(F130="Sim",Legenda!$C$6,IF(F130="Parcial",Legenda!$C$7,0))+IF(G130="otool + Ghidra",Legenda!$C$8,IF(OR(G130="otool",G130="Ghidra",G130="Outro binário"),Legenda!$C$9,0))+MIN(Legenda!$C$11,MAX(0,J130-1)*Legenda!$C$10)))),1)</f>
        <v/>
      </c>
      <c r="M130" s="67" t="inlineStr">
        <is>
          <t>C5-userclient-surface.md</t>
        </is>
      </c>
      <c r="N130" s="67" t="inlineStr">
        <is>
          <t>8 flags (8 cat. 4)</t>
        </is>
      </c>
      <c r="O130" s="67" t="inlineStr">
        <is>
          <t>Reescrever com base em A1-Q-UC. [2026-10-14] Bloco Correction inserido nos .md; evidência em docs/system-map/PROVENANCE-RESOLUTIONS.md.</t>
        </is>
      </c>
      <c r="P130" s="69">
        <f>LEFT(A130,FIND(".",A130&amp;".")-1)</f>
        <v/>
      </c>
    </row>
    <row r="131" ht="22.35" customHeight="1" s="21">
      <c r="A131" s="65" t="inlineStr">
        <is>
          <t>C6.1</t>
        </is>
      </c>
      <c r="B131" s="66" t="inlineStr">
        <is>
          <t>C6</t>
        </is>
      </c>
      <c r="C131" s="67" t="inlineStr">
        <is>
          <t>Orçamento de latência</t>
        </is>
      </c>
      <c r="D131" s="67" t="inlineStr">
        <is>
          <t>Valores medidos a 44.1k/48k (v1.9); demais estágios estimados.</t>
        </is>
      </c>
      <c r="E131" s="66" t="inlineStr">
        <is>
          <t>Parcial</t>
        </is>
      </c>
      <c r="F131" s="66" t="inlineStr">
        <is>
          <t>Sim</t>
        </is>
      </c>
      <c r="G131" s="66" t="inlineStr">
        <is>
          <t>otool</t>
        </is>
      </c>
      <c r="H131" s="66" t="inlineStr">
        <is>
          <t>Parcial</t>
        </is>
      </c>
      <c r="I131" s="67" t="inlineStr">
        <is>
          <t>capturas B5; Q10</t>
        </is>
      </c>
      <c r="J131" s="66">
        <f>IF(TRIM(I131)="",0,LEN(I131)-LEN(SUBSTITUTE(I131,";",""))+1)</f>
        <v/>
      </c>
      <c r="K131" s="67" t="inlineStr">
        <is>
          <t>Corrigido 2026-10-14</t>
        </is>
      </c>
      <c r="L131" s="68">
        <f>ROUND(IF(H131="Sim",MIN(Legenda!$C$12,MIN(10,IF(E131="Sim",Legenda!$C$4,IF(E131="Parcial",Legenda!$C$5,0))+IF(F131="Sim",Legenda!$C$6,IF(F131="Parcial",Legenda!$C$7,0))+IF(G131="otool + Ghidra",Legenda!$C$8,IF(OR(G131="otool",G131="Ghidra",G131="Outro binário"),Legenda!$C$9,0))+MIN(Legenda!$C$11,MAX(0,J131-1)*Legenda!$C$10))),IF(H131="Parcial",MIN(Legenda!$C$13,MIN(10,IF(E131="Sim",Legenda!$C$4,IF(E131="Parcial",Legenda!$C$5,0))+IF(F131="Sim",Legenda!$C$6,IF(F131="Parcial",Legenda!$C$7,0))+IF(G131="otool + Ghidra",Legenda!$C$8,IF(OR(G131="otool",G131="Ghidra",G131="Outro binário"),Legenda!$C$9,0))+MIN(Legenda!$C$11,MAX(0,J131-1)*Legenda!$C$10))),MIN(10,IF(E131="Sim",Legenda!$C$4,IF(E131="Parcial",Legenda!$C$5,0))+IF(F131="Sim",Legenda!$C$6,IF(F131="Parcial",Legenda!$C$7,0))+IF(G131="otool + Ghidra",Legenda!$C$8,IF(OR(G131="otool",G131="Ghidra",G131="Outro binário"),Legenda!$C$9,0))+MIN(Legenda!$C$11,MAX(0,J131-1)*Legenda!$C$10)))),1)</f>
        <v/>
      </c>
      <c r="M131" s="67" t="inlineStr">
        <is>
          <t>C6-latency-budget.md</t>
        </is>
      </c>
      <c r="N131" s="67" t="inlineStr">
        <is>
          <t>11 flags (3 cat. 5)</t>
        </is>
      </c>
      <c r="O131" s="67" t="inlineStr">
        <is>
          <t>Rotular estimativas; faltam taxas altas; v1.9 vs v1.11.3. [2026-10-14] Bloco Correction inserido; resta verificação (ver Flags_auditoria / aba Painel). [2026-10-14, R35] Doc consolidado (P5): texto antigo removido/ corrigido; pendências verificáveis só com hardware seguem rotuladas como não verificadas e as flags AUD abertas correspondentes permanecem abertas.</t>
        </is>
      </c>
      <c r="P131" s="69">
        <f>LEFT(A131,FIND(".",A131&amp;".")-1)</f>
        <v/>
      </c>
    </row>
    <row r="132" ht="22.35" customHeight="1" s="21">
      <c r="A132" s="65" t="inlineStr">
        <is>
          <t>D.1</t>
        </is>
      </c>
      <c r="B132" s="66" t="inlineStr">
        <is>
          <t>D</t>
        </is>
      </c>
      <c r="C132" s="67" t="inlineStr">
        <is>
          <t>Decisão de build</t>
        </is>
      </c>
      <c r="D132" s="67" t="inlineStr">
        <is>
          <t>D2 (clone completo) ESCOLHIDO pelo usuário em 2026-10-14; D1/D3 retirados.</t>
        </is>
      </c>
      <c r="E132" s="66" t="inlineStr">
        <is>
          <t>Parcial</t>
        </is>
      </c>
      <c r="F132" s="66" t="inlineStr">
        <is>
          <t>Parcial</t>
        </is>
      </c>
      <c r="G132" s="66" t="inlineStr">
        <is>
          <t>Outro binário</t>
        </is>
      </c>
      <c r="H132" s="66" t="inlineStr">
        <is>
          <t>Parcial</t>
        </is>
      </c>
      <c r="I132" s="67" t="inlineStr">
        <is>
          <t>C1–C6; Q-SDK; B3</t>
        </is>
      </c>
      <c r="J132" s="66">
        <f>IF(TRIM(I132)="",0,LEN(I132)-LEN(SUBSTITUTE(I132,";",""))+1)</f>
        <v/>
      </c>
      <c r="K132" s="67" t="inlineStr">
        <is>
          <t>Corrigido 2026-10-14</t>
        </is>
      </c>
      <c r="L132" s="68">
        <f>ROUND(IF(H132="Sim",MIN(Legenda!$C$12,MIN(10,IF(E132="Sim",Legenda!$C$4,IF(E132="Parcial",Legenda!$C$5,0))+IF(F132="Sim",Legenda!$C$6,IF(F132="Parcial",Legenda!$C$7,0))+IF(G132="otool + Ghidra",Legenda!$C$8,IF(OR(G132="otool",G132="Ghidra",G132="Outro binário"),Legenda!$C$9,0))+MIN(Legenda!$C$11,MAX(0,J132-1)*Legenda!$C$10))),IF(H132="Parcial",MIN(Legenda!$C$13,MIN(10,IF(E132="Sim",Legenda!$C$4,IF(E132="Parcial",Legenda!$C$5,0))+IF(F132="Sim",Legenda!$C$6,IF(F132="Parcial",Legenda!$C$7,0))+IF(G132="otool + Ghidra",Legenda!$C$8,IF(OR(G132="otool",G132="Ghidra",G132="Outro binário"),Legenda!$C$9,0))+MIN(Legenda!$C$11,MAX(0,J132-1)*Legenda!$C$10))),MIN(10,IF(E132="Sim",Legenda!$C$4,IF(E132="Parcial",Legenda!$C$5,0))+IF(F132="Sim",Legenda!$C$6,IF(F132="Parcial",Legenda!$C$7,0))+IF(G132="otool + Ghidra",Legenda!$C$8,IF(OR(G132="otool",G132="Ghidra",G132="Outro binário"),Legenda!$C$9,0))+MIN(Legenda!$C$11,MAX(0,J132-1)*Legenda!$C$10)))),1)</f>
        <v/>
      </c>
      <c r="M132" s="67" t="inlineStr">
        <is>
          <t>D-decision.md</t>
        </is>
      </c>
      <c r="N132" s="67" t="inlineStr">
        <is>
          <t>8 flags (7 cat. 4)</t>
        </is>
      </c>
      <c r="O132" s="67" t="inlineStr">
        <is>
          <t>Reavaliar D1/D3 vs D2 depois das correções. [2026-10-14] Bloco Correction inserido; resta verificação (ver Flags_auditoria / aba Painel). [2026-10-14, R30] Comparação D1/D2/D3 reexecutada (bloco "Re-run" no topo de D-decision.md): breaker #3 refutado; #1/#2 não discriminam e não provados (SIP ligado nunca testado); D3 colapsa em D1; D1 vs D2 depende da falha de init anterior ao pânico (Q-SDK.5). D2 segue como padrão proposto, com outros fundamentos. NÃO aprovado. [2026-10-14, R31] Q-SDK.5 fechado: pânico = rejeição de probe na 1ª rodada + operator delete(NULL). Correção mínima: delete NULL-safe + re-assinar + helper enviar MAFirmwareStart. D1 passa a ser o recomendado; D2 reserva. [2026-10-14] APROVADO: D1. Código/patch seguem congelados até o plano de build ser aprovado. [2026-10-14, R34] Reversão: D1 aprovado e depois trocado por D2 ("wipe D1 plan. go full D2"). Plano = docs/BUILD-PLAN.md (RASCUNHO, portão G1).</t>
        </is>
      </c>
      <c r="P132" s="69">
        <f>LEFT(A132,FIND(".",A132&amp;".")-1)</f>
        <v/>
      </c>
    </row>
    <row r="133">
      <c r="A133" s="70" t="inlineStr">
        <is>
          <t>A1-Q-OHCI.1</t>
        </is>
      </c>
      <c r="B133" s="70" t="inlineStr">
        <is>
          <t>A1</t>
        </is>
      </c>
      <c r="C133" s="70" t="inlineStr">
        <is>
          <t>Tradução do DCL clássico no kernel 10.13.6</t>
        </is>
      </c>
      <c r="D133" s="70" t="inlineStr">
        <is>
          <t>translateLegacyProgram dobra CallProc/PtrTimeStamp/UpdateDCLList no DCL de transferência anterior; CallProc sem transferência anterior é descartado; Label=9, SetTagSync=11 confirmados no binário.</t>
        </is>
      </c>
      <c r="E133" s="70" t="inlineStr">
        <is>
          <t>Sim</t>
        </is>
      </c>
      <c r="F133" s="70" t="inlineStr">
        <is>
          <t>Não</t>
        </is>
      </c>
      <c r="G133" s="70" t="inlineStr">
        <is>
          <t>otool</t>
        </is>
      </c>
      <c r="H133" s="70" t="inlineStr">
        <is>
          <t>Não</t>
        </is>
      </c>
      <c r="I133" s="70" t="inlineStr">
        <is>
          <t>AppleFWOHCI 5.5.9 asm 0x8d5e (tabela 0x9284); IOFWDCL.h; IOFireWireFamilyCommon.h (SDK Sonoma)</t>
        </is>
      </c>
      <c r="J133" s="70">
        <f>IF(TRIM(I133)="",0,LEN(I133)-LEN(SUBSTITUTE(I133,";",""))+1)</f>
        <v/>
      </c>
      <c r="K133" s="70" t="inlineStr">
        <is>
          <t>Corrigido 2026-10-14</t>
        </is>
      </c>
      <c r="L133" s="70">
        <f>ROUND(IF(H133="Sim",MIN(Legenda!$C$12,MIN(10,IF(E133="Sim",Legenda!$C$4,IF(E133="Parcial",Legenda!$C$5,0))+IF(F133="Sim",Legenda!$C$6,IF(F133="Parcial",Legenda!$C$7,0))+IF(G133="otool + Ghidra",Legenda!$C$8,IF(OR(G133="otool",G133="Ghidra",G133="Outro binário"),Legenda!$C$9,0))+MIN(Legenda!$C$11,MAX(0,J133-1)*Legenda!$C$10))),IF(H133="Parcial",MIN(Legenda!$C$13,MIN(10,IF(E133="Sim",Legenda!$C$4,IF(E133="Parcial",Legenda!$C$5,0))+IF(F133="Sim",Legenda!$C$6,IF(F133="Parcial",Legenda!$C$7,0))+IF(G133="otool + Ghidra",Legenda!$C$8,IF(OR(G133="otool",G133="Ghidra",G133="Outro binário"),Legenda!$C$9,0))+MIN(Legenda!$C$11,MAX(0,J133-1)*Legenda!$C$10))),MIN(10,IF(E133="Sim",Legenda!$C$4,IF(E133="Parcial",Legenda!$C$5,0))+IF(F133="Sim",Legenda!$C$6,IF(F133="Parcial",Legenda!$C$7,0))+IF(G133="otool + Ghidra",Legenda!$C$8,IF(OR(G133="otool",G133="Ghidra",G133="Outro binário"),Legenda!$C$9,0))+MIN(Legenda!$C$11,MAX(0,J133-1)*Legenda!$C$10)))),1)</f>
        <v/>
      </c>
      <c r="M133" s="70" t="inlineStr">
        <is>
          <t>A1-ghidra/Q-OHCI-interrupt.md</t>
        </is>
      </c>
      <c r="N133" s="70" t="inlineStr">
        <is>
          <t>AUD-C2-08; AUD-C4-08; AUD-Q1-01; AUD-D-07</t>
        </is>
      </c>
      <c r="O133" s="70" t="inlineStr">
        <is>
          <t>Binário de 10.13.6 lido por cópia somente-leitura; a ordem exata dos nós no segmento do kext vem de Q1/Q1a (não re-derivada). Hipótese aberta: causa da mudez de TX do clone antigo.</t>
        </is>
      </c>
      <c r="P133" s="70">
        <f>LEFT(A133,FIND(".",A133&amp;".")-1)</f>
        <v/>
      </c>
    </row>
    <row r="134">
      <c r="A134" s="70" t="inlineStr">
        <is>
          <t>A1-Q-UC.6</t>
        </is>
      </c>
      <c r="B134" s="70" t="inlineStr">
        <is>
          <t>A1</t>
        </is>
      </c>
      <c r="C134" s="70" t="inlineStr">
        <is>
          <t>User clients nunca chamam terminate() (vazamento)</t>
        </is>
      </c>
      <c r="D134" s="70" t="inlineStr">
        <is>
          <t>clientClose (0x71a8, 0x15c38) nao termina o cliente; v1.9 nao tem terminate; SL mostra UCs orfaos de pids mortos; cada start do helper cria 2 UCs.</t>
        </is>
      </c>
      <c r="E134" s="70" t="inlineStr">
        <is>
          <t>Sim</t>
        </is>
      </c>
      <c r="F134" s="70" t="inlineStr">
        <is>
          <t>Sim</t>
        </is>
      </c>
      <c r="G134" s="70" t="inlineStr">
        <is>
          <t>otool</t>
        </is>
      </c>
      <c r="H134" s="70" t="inlineStr">
        <is>
          <t>Não</t>
        </is>
      </c>
      <c r="I134" s="70" t="inlineStr">
        <is>
          <t>asm 0x71a8/0x15c38 (v1.11.2); v19.x64.asm (0 terminate); ioreg ao vivo no SL v1.9</t>
        </is>
      </c>
      <c r="J134" s="70">
        <f>IF(TRIM(I134)="",0,LEN(I134)-LEN(SUBSTITUTE(I134,";",""))+1)</f>
        <v/>
      </c>
      <c r="K134" s="70" t="inlineStr">
        <is>
          <t>Corrigido 2026-10-14</t>
        </is>
      </c>
      <c r="L134" s="70">
        <f>ROUND(IF(H134="Sim",MIN(Legenda!$C$12,MIN(10,IF(E134="Sim",Legenda!$C$4,IF(E134="Parcial",Legenda!$C$5,0))+IF(F134="Sim",Legenda!$C$6,IF(F134="Parcial",Legenda!$C$7,0))+IF(G134="otool + Ghidra",Legenda!$C$8,IF(OR(G134="otool",G134="Ghidra",G134="Outro binário"),Legenda!$C$9,0))+MIN(Legenda!$C$11,MAX(0,J134-1)*Legenda!$C$10))),IF(H134="Parcial",MIN(Legenda!$C$13,MIN(10,IF(E134="Sim",Legenda!$C$4,IF(E134="Parcial",Legenda!$C$5,0))+IF(F134="Sim",Legenda!$C$6,IF(F134="Parcial",Legenda!$C$7,0))+IF(G134="otool + Ghidra",Legenda!$C$8,IF(OR(G134="otool",G134="Ghidra",G134="Outro binário"),Legenda!$C$9,0))+MIN(Legenda!$C$11,MAX(0,J134-1)*Legenda!$C$10))),MIN(10,IF(E134="Sim",Legenda!$C$4,IF(E134="Parcial",Legenda!$C$5,0))+IF(F134="Sim",Legenda!$C$6,IF(F134="Parcial",Legenda!$C$7,0))+IF(G134="otool + Ghidra",Legenda!$C$8,IF(OR(G134="otool",G134="Ghidra",G134="Outro binário"),Legenda!$C$9,0))+MIN(Legenda!$C$11,MAX(0,J134-1)*Legenda!$C$10)))),1)</f>
        <v/>
      </c>
      <c r="M134" s="70" t="inlineStr">
        <is>
          <t>A1-ghidra/Q-UC-surface.md (bloco); PROVENANCE-RESOLUTIONS.md §R16</t>
        </is>
      </c>
      <c r="N134" s="70" t="inlineStr">
        <is>
          <t>—</t>
        </is>
      </c>
      <c r="O134" s="70" t="inlineStr">
        <is>
          <t>Clone: chamar terminate() em clientClose e um desvio deliberado do reference (precisa de aval). Por que o helper cria 2 instancias por start: nao explicado. | Atualizacao: os UCs orfaos sumiram ao reenumerar o dispositivo (power-cycle, captura 73): o vazamento dura ate o no do dispositivo terminar. R25</t>
        </is>
      </c>
      <c r="P134" s="70">
        <f>LEFT(A134,FIND(".",A134&amp;".")-1)</f>
        <v/>
      </c>
    </row>
    <row r="135">
      <c r="A135" s="70" t="inlineStr">
        <is>
          <t>A4-H11.1</t>
        </is>
      </c>
      <c r="B135" s="70" t="inlineStr">
        <is>
          <t>A4</t>
        </is>
      </c>
      <c r="C135" s="70" t="inlineStr">
        <is>
          <t>Persistência e replay de configurações pelo helper</t>
        </is>
      </c>
      <c r="D135" s="70" t="inlineStr">
        <is>
          <t>Helper persiste (CFPreferences por GUID, 4 s) e reaplica (1 setProperties) ao anexar/login; Panel nao escreve; configureDCLLatency e codigo morto.</t>
        </is>
      </c>
      <c r="E135" s="70" t="inlineStr">
        <is>
          <t>Sim</t>
        </is>
      </c>
      <c r="F135" s="70" t="inlineStr">
        <is>
          <t>Sim</t>
        </is>
      </c>
      <c r="G135" s="70" t="inlineStr">
        <is>
          <t>otool + Ghidra</t>
        </is>
      </c>
      <c r="H135" s="70" t="inlineStr">
        <is>
          <t>Não</t>
        </is>
      </c>
      <c r="I135" s="70" t="inlineStr">
        <is>
          <t>Ghidra a4-prefs.log; xref a4-xref-configureDCLLatency.log; SL captura 71; defaults read no SL</t>
        </is>
      </c>
      <c r="J135" s="70">
        <f>IF(TRIM(I135)="",0,LEN(I135)-LEN(SUBSTITUTE(I135,";",""))+1)</f>
        <v/>
      </c>
      <c r="K135" s="70" t="inlineStr">
        <is>
          <t>Corrigido 2026-10-14</t>
        </is>
      </c>
      <c r="L135" s="70">
        <f>ROUND(IF(H135="Sim",MIN(Legenda!$C$12,MIN(10,IF(E135="Sim",Legenda!$C$4,IF(E135="Parcial",Legenda!$C$5,0))+IF(F135="Sim",Legenda!$C$6,IF(F135="Parcial",Legenda!$C$7,0))+IF(G135="otool + Ghidra",Legenda!$C$8,IF(OR(G135="otool",G135="Ghidra",G135="Outro binário"),Legenda!$C$9,0))+MIN(Legenda!$C$11,MAX(0,J135-1)*Legenda!$C$10))),IF(H135="Parcial",MIN(Legenda!$C$13,MIN(10,IF(E135="Sim",Legenda!$C$4,IF(E135="Parcial",Legenda!$C$5,0))+IF(F135="Sim",Legenda!$C$6,IF(F135="Parcial",Legenda!$C$7,0))+IF(G135="otool + Ghidra",Legenda!$C$8,IF(OR(G135="otool",G135="Ghidra",G135="Outro binário"),Legenda!$C$9,0))+MIN(Legenda!$C$11,MAX(0,J135-1)*Legenda!$C$10))),MIN(10,IF(E135="Sim",Legenda!$C$4,IF(E135="Parcial",Legenda!$C$5,0))+IF(F135="Sim",Legenda!$C$6,IF(F135="Parcial",Legenda!$C$7,0))+IF(G135="otool + Ghidra",Legenda!$C$8,IF(OR(G135="otool",G135="Ghidra",G135="Outro binário"),Legenda!$C$9,0))+MIN(Legenda!$C$11,MAX(0,J135-1)*Legenda!$C$10)))),1)</f>
        <v/>
      </c>
      <c r="M135" s="70" t="inlineStr">
        <is>
          <t>A4-helper/H11-settings-persistence.md</t>
        </is>
      </c>
      <c r="N135" s="70" t="inlineStr">
        <is>
          <t>AUD-C1-08</t>
        </is>
      </c>
      <c r="O135" s="70" t="inlineStr">
        <is>
          <t>Duas instancias/escritas de 6570 B por start nao explicadas.</t>
        </is>
      </c>
      <c r="P135" s="70">
        <f>LEFT(A135,FIND(".",A135&amp;".")-1)</f>
        <v/>
      </c>
    </row>
    <row r="136">
      <c r="A136" s="70" t="inlineStr">
        <is>
          <t>A1-Q3.3</t>
        </is>
      </c>
      <c r="B136" s="70" t="inlineStr">
        <is>
          <t>A1</t>
        </is>
      </c>
      <c r="C136" s="70" t="inlineStr">
        <is>
          <t>Contagens de canais por modo (entradas vs saidas)</t>
        </is>
      </c>
      <c r="D136" s="70" t="inlineStr">
        <is>
          <t>Saidas 6/12 (fMode bit4) e entradas 10/16 (bit3); tabelas DeviceChannels; confirmado no SL.</t>
        </is>
      </c>
      <c r="E136" s="70" t="inlineStr">
        <is>
          <t>Sim</t>
        </is>
      </c>
      <c r="F136" s="70" t="inlineStr">
        <is>
          <t>Sim</t>
        </is>
      </c>
      <c r="G136" s="70" t="inlineStr">
        <is>
          <t>otool</t>
        </is>
      </c>
      <c r="H136" s="70" t="inlineStr">
        <is>
          <t>Não</t>
        </is>
      </c>
      <c r="I136" s="70" t="inlineStr">
        <is>
          <t>asm 0xed34; SL 67a/67b; tabelas 0x363c0/0x364a0/0x36580/0x4ab80</t>
        </is>
      </c>
      <c r="J136" s="70">
        <f>IF(TRIM(I136)="",0,LEN(I136)-LEN(SUBSTITUTE(I136,";",""))+1)</f>
        <v/>
      </c>
      <c r="K136" s="70" t="inlineStr">
        <is>
          <t>Corrigido 2026-10-14</t>
        </is>
      </c>
      <c r="L136" s="70">
        <f>ROUND(IF(H136="Sim",MIN(Legenda!$C$12,MIN(10,IF(E136="Sim",Legenda!$C$4,IF(E136="Parcial",Legenda!$C$5,0))+IF(F136="Sim",Legenda!$C$6,IF(F136="Parcial",Legenda!$C$7,0))+IF(G136="otool + Ghidra",Legenda!$C$8,IF(OR(G136="otool",G136="Ghidra",G136="Outro binário"),Legenda!$C$9,0))+MIN(Legenda!$C$11,MAX(0,J136-1)*Legenda!$C$10))),IF(H136="Parcial",MIN(Legenda!$C$13,MIN(10,IF(E136="Sim",Legenda!$C$4,IF(E136="Parcial",Legenda!$C$5,0))+IF(F136="Sim",Legenda!$C$6,IF(F136="Parcial",Legenda!$C$7,0))+IF(G136="otool + Ghidra",Legenda!$C$8,IF(OR(G136="otool",G136="Ghidra",G136="Outro binário"),Legenda!$C$9,0))+MIN(Legenda!$C$11,MAX(0,J136-1)*Legenda!$C$10))),MIN(10,IF(E136="Sim",Legenda!$C$4,IF(E136="Parcial",Legenda!$C$5,0))+IF(F136="Sim",Legenda!$C$6,IF(F136="Parcial",Legenda!$C$7,0))+IF(G136="otool + Ghidra",Legenda!$C$8,IF(OR(G136="otool",G136="Ghidra",G136="Outro binário"),Legenda!$C$9,0))+MIN(Legenda!$C$11,MAX(0,J136-1)*Legenda!$C$10)))),1)</f>
        <v/>
      </c>
      <c r="M136" s="70" t="inlineStr">
        <is>
          <t>PROVENANCE-RESOLUTIONS.md §R12</t>
        </is>
      </c>
      <c r="N136" s="70" t="inlineStr">
        <is>
          <t>—</t>
        </is>
      </c>
      <c r="O136" s="70" t="inlineStr">
        <is>
          <t>Rotulo "spdif-mode" do arquivo 67a e suspeito.</t>
        </is>
      </c>
      <c r="P136" s="70">
        <f>LEFT(A136,FIND(".",A136&amp;".")-1)</f>
        <v/>
      </c>
    </row>
    <row r="137">
      <c r="A137" s="70" t="inlineStr">
        <is>
          <t>A1-Q-MAMAP.1</t>
        </is>
      </c>
      <c r="B137" s="70" t="inlineStr">
        <is>
          <t>A1</t>
        </is>
      </c>
      <c r="C137" s="70" t="inlineStr">
        <is>
          <t>Mixer do FW1814: dois canais (registradores + AV/C)</t>
        </is>
      </c>
      <c r="D137" s="70" t="inlineStr">
        <is>
          <t>Níveis, pan de entrada, roteamento de entrada, seletor de fones e aux monitor via registradores vendor; MAAuxOutputPan2 e MASWReturnRoutingV2 via AV/C. Mute/solo/dim = nível mínimo/-10 dB.</t>
        </is>
      </c>
      <c r="E137" s="70" t="inlineStr">
        <is>
          <t>Sim</t>
        </is>
      </c>
      <c r="F137" s="70" t="inlineStr">
        <is>
          <t>Não</t>
        </is>
      </c>
      <c r="G137" s="70" t="inlineStr">
        <is>
          <t>otool + Ghidra</t>
        </is>
      </c>
      <c r="H137" s="70" t="inlineStr">
        <is>
          <t>Parcial</t>
        </is>
      </c>
      <c r="I137" s="70" t="inlineStr">
        <is>
          <t>Ghidra qmamap.log/qmamap2.log; asm PMFs 0x59/0x69/0x71 e vtable 0xbb8-0xbc8; FFADO special_mixer.cpp:220-236 (offsets)</t>
        </is>
      </c>
      <c r="J137" s="70">
        <f>IF(TRIM(I137)="",0,LEN(I137)-LEN(SUBSTITUTE(I137,";",""))+1)</f>
        <v/>
      </c>
      <c r="K137" s="70" t="inlineStr">
        <is>
          <t>Corrigido 2026-10-14</t>
        </is>
      </c>
      <c r="L137" s="70">
        <f>ROUND(IF(H137="Sim",MIN(Legenda!$C$12,MIN(10,IF(E137="Sim",Legenda!$C$4,IF(E137="Parcial",Legenda!$C$5,0))+IF(F137="Sim",Legenda!$C$6,IF(F137="Parcial",Legenda!$C$7,0))+IF(G137="otool + Ghidra",Legenda!$C$8,IF(OR(G137="otool",G137="Ghidra",G137="Outro binário"),Legenda!$C$9,0))+MIN(Legenda!$C$11,MAX(0,J137-1)*Legenda!$C$10))),IF(H137="Parcial",MIN(Legenda!$C$13,MIN(10,IF(E137="Sim",Legenda!$C$4,IF(E137="Parcial",Legenda!$C$5,0))+IF(F137="Sim",Legenda!$C$6,IF(F137="Parcial",Legenda!$C$7,0))+IF(G137="otool + Ghidra",Legenda!$C$8,IF(OR(G137="otool",G137="Ghidra",G137="Outro binário"),Legenda!$C$9,0))+MIN(Legenda!$C$11,MAX(0,J137-1)*Legenda!$C$10))),MIN(10,IF(E137="Sim",Legenda!$C$4,IF(E137="Parcial",Legenda!$C$5,0))+IF(F137="Sim",Legenda!$C$6,IF(F137="Parcial",Legenda!$C$7,0))+IF(G137="otool + Ghidra",Legenda!$C$8,IF(OR(G137="otool",G137="Ghidra",G137="Outro binário"),Legenda!$C$9,0))+MIN(Legenda!$C$11,MAX(0,J137-1)*Legenda!$C$10)))),1)</f>
        <v/>
      </c>
      <c r="M137" s="70" t="inlineStr">
        <is>
          <t>A1-ghidra/Q-MAMAP-key-crosswalk.md; R20</t>
        </is>
      </c>
      <c r="N137" s="70" t="inlineStr">
        <is>
          <t>—</t>
        </is>
      </c>
      <c r="O137" s="70" t="inlineStr">
        <is>
          <t>Bits de roteamento e seletores AV/C nao derivados; sem captura ao vivo dos writes do mixer.</t>
        </is>
      </c>
      <c r="P137" s="70">
        <f>LEFT(A137,FIND(".",A137&amp;".")-1)</f>
        <v/>
      </c>
    </row>
    <row r="138">
      <c r="A138" s="70" t="inlineStr">
        <is>
          <t>B5.8</t>
        </is>
      </c>
      <c r="B138" s="70" t="inlineStr">
        <is>
          <t>B5</t>
        </is>
      </c>
      <c r="C138" s="70" t="inlineStr">
        <is>
          <t>Tabela de latencia por taxa (SL v1.9, ocioso)</t>
        </is>
      </c>
      <c r="D138" s="70" t="inlineStr">
        <is>
          <t>SampleOffset/InputLatency/OutputLatency: 44.1k 40/32/216; 48k 48/32/231; 88.2k 88/64/352; 96k 96/64/387; 176.4k 176/128/387; 192k 192/128/387; canais out/in por taxa.</t>
        </is>
      </c>
      <c r="E138" s="70" t="inlineStr">
        <is>
          <t>Não</t>
        </is>
      </c>
      <c r="F138" s="70" t="inlineStr">
        <is>
          <t>Sim</t>
        </is>
      </c>
      <c r="G138" s="70" t="inlineStr">
        <is>
          <t>Outro binário</t>
        </is>
      </c>
      <c r="H138" s="70" t="inlineStr">
        <is>
          <t>Não</t>
        </is>
      </c>
      <c r="I138" s="70" t="inlineStr">
        <is>
          <t>ioreg -r -c com_m_audio_FWEngine2 no SL durante varredura de taxa (captura 72)</t>
        </is>
      </c>
      <c r="J138" s="70">
        <f>IF(TRIM(I138)="",0,LEN(I138)-LEN(SUBSTITUTE(I138,";",""))+1)</f>
        <v/>
      </c>
      <c r="K138" s="70" t="inlineStr">
        <is>
          <t>Corrigido 2026-10-14</t>
        </is>
      </c>
      <c r="L138" s="70">
        <f>ROUND(IF(H138="Sim",MIN(Legenda!$C$12,MIN(10,IF(E138="Sim",Legenda!$C$4,IF(E138="Parcial",Legenda!$C$5,0))+IF(F138="Sim",Legenda!$C$6,IF(F138="Parcial",Legenda!$C$7,0))+IF(G138="otool + Ghidra",Legenda!$C$8,IF(OR(G138="otool",G138="Ghidra",G138="Outro binário"),Legenda!$C$9,0))+MIN(Legenda!$C$11,MAX(0,J138-1)*Legenda!$C$10))),IF(H138="Parcial",MIN(Legenda!$C$13,MIN(10,IF(E138="Sim",Legenda!$C$4,IF(E138="Parcial",Legenda!$C$5,0))+IF(F138="Sim",Legenda!$C$6,IF(F138="Parcial",Legenda!$C$7,0))+IF(G138="otool + Ghidra",Legenda!$C$8,IF(OR(G138="otool",G138="Ghidra",G138="Outro binário"),Legenda!$C$9,0))+MIN(Legenda!$C$11,MAX(0,J138-1)*Legenda!$C$10))),MIN(10,IF(E138="Sim",Legenda!$C$4,IF(E138="Parcial",Legenda!$C$5,0))+IF(F138="Sim",Legenda!$C$6,IF(F138="Parcial",Legenda!$C$7,0))+IF(G138="otool + Ghidra",Legenda!$C$8,IF(OR(G138="otool",G138="Ghidra",G138="Outro binário"),Legenda!$C$9,0))+MIN(Legenda!$C$11,MAX(0,J138-1)*Legenda!$C$10)))),1)</f>
        <v/>
      </c>
      <c r="M138" s="70" t="inlineStr">
        <is>
          <t>B5-sl-dtrace-truth/captures/72-*.txt; R25</t>
        </is>
      </c>
      <c r="N138" s="70" t="inlineStr">
        <is>
          <t>—</t>
        </is>
      </c>
      <c r="O138" s="70" t="inlineStr">
        <is>
          <t>Numeros do v1.9; relacao com o SYT (8/16/32) e hipotese.</t>
        </is>
      </c>
      <c r="P138" s="70">
        <f>LEFT(A138,FIND(".",A138&amp;".")-1)</f>
        <v/>
      </c>
    </row>
    <row r="139">
      <c r="A139" s="70" t="inlineStr">
        <is>
          <t>B5.9</t>
        </is>
      </c>
      <c r="B139" s="70" t="inlineStr">
        <is>
          <t>B5</t>
        </is>
      </c>
      <c r="C139" s="70" t="inlineStr">
        <is>
          <t>Cadeia de sleeps na troca de taxa e linha do tempo do power-cycle</t>
        </is>
      </c>
      <c r="D139" s="70" t="inlineStr">
        <is>
          <t>Troca de taxa ociosa: 3x100, 500, 500, 100, ~0.9 s, 1000 ms (~3.5 s). Power-cycle: bootloader -&gt; firmware ativo em +3.3 s; ~14.7 s ate silencio; ReconnectP2P (1100 ms) nao ocorre.</t>
        </is>
      </c>
      <c r="E139" s="70" t="inlineStr">
        <is>
          <t>Não</t>
        </is>
      </c>
      <c r="F139" s="70" t="inlineStr">
        <is>
          <t>Sim</t>
        </is>
      </c>
      <c r="G139" s="70" t="inlineStr">
        <is>
          <t>Outro binário</t>
        </is>
      </c>
      <c r="H139" s="70" t="inlineStr">
        <is>
          <t>Não</t>
        </is>
      </c>
      <c r="I139" s="70" t="inlineStr">
        <is>
          <t>dtrace fbt::IOSleep/IOLog no SL (capturas 72, 73); sitios de IOSleep identicos no v1.9 e 1.11.3 (asm)</t>
        </is>
      </c>
      <c r="J139" s="70">
        <f>IF(TRIM(I139)="",0,LEN(I139)-LEN(SUBSTITUTE(I139,";",""))+1)</f>
        <v/>
      </c>
      <c r="K139" s="70" t="inlineStr">
        <is>
          <t>Corrigido 2026-10-14</t>
        </is>
      </c>
      <c r="L139" s="70">
        <f>ROUND(IF(H139="Sim",MIN(Legenda!$C$12,MIN(10,IF(E139="Sim",Legenda!$C$4,IF(E139="Parcial",Legenda!$C$5,0))+IF(F139="Sim",Legenda!$C$6,IF(F139="Parcial",Legenda!$C$7,0))+IF(G139="otool + Ghidra",Legenda!$C$8,IF(OR(G139="otool",G139="Ghidra",G139="Outro binário"),Legenda!$C$9,0))+MIN(Legenda!$C$11,MAX(0,J139-1)*Legenda!$C$10))),IF(H139="Parcial",MIN(Legenda!$C$13,MIN(10,IF(E139="Sim",Legenda!$C$4,IF(E139="Parcial",Legenda!$C$5,0))+IF(F139="Sim",Legenda!$C$6,IF(F139="Parcial",Legenda!$C$7,0))+IF(G139="otool + Ghidra",Legenda!$C$8,IF(OR(G139="otool",G139="Ghidra",G139="Outro binário"),Legenda!$C$9,0))+MIN(Legenda!$C$11,MAX(0,J139-1)*Legenda!$C$10))),MIN(10,IF(E139="Sim",Legenda!$C$4,IF(E139="Parcial",Legenda!$C$5,0))+IF(F139="Sim",Legenda!$C$6,IF(F139="Parcial",Legenda!$C$7,0))+IF(G139="otool + Ghidra",Legenda!$C$8,IF(OR(G139="otool",G139="Ghidra",G139="Outro binário"),Legenda!$C$9,0))+MIN(Legenda!$C$11,MAX(0,J139-1)*Legenda!$C$10)))),1)</f>
        <v/>
      </c>
      <c r="M139" s="70" t="inlineStr">
        <is>
          <t>B5-sl-dtrace-truth/captures/72-*.txt, 73-*.txt; R25</t>
        </is>
      </c>
      <c r="N139" s="70" t="inlineStr">
        <is>
          <t>—</t>
        </is>
      </c>
      <c r="O139" s="70" t="inlineStr">
        <is>
          <t>Conteudo dos frames AV/C nao observavel (fbt so ve mach_kernel). ReconnectP2P ao vivo nao observado.</t>
        </is>
      </c>
      <c r="P139" s="70">
        <f>LEFT(A139,FIND(".",A139&amp;".")-1)</f>
        <v/>
      </c>
    </row>
    <row r="140">
      <c r="A140" s="70" t="inlineStr">
        <is>
          <t>A1-Q-SDK.5</t>
        </is>
      </c>
      <c r="B140" s="70" t="inlineStr">
        <is>
          <t>A1</t>
        </is>
      </c>
      <c r="C140" s="70" t="inlineStr">
        <is>
          <t>Qual etapa de init/probe/start falha antes do pânico no 10.13.6</t>
        </is>
      </c>
      <c r="D140" s="70" t="inlineStr">
        <is>
          <t>O "falha anterior" não é falha: FWMetaNub::start registra o nub; na 1ª rodada FWAVCAudioDevice::probe @0x22f78 rejeita sempre ([+0xf3]==0, só FirmwareStart/MAFirmwareStart do helper o liga); o candidato nunca iniciado é liberado e free()/destrutores fazem operator delete(NULL) (218 sítios), que o 10.13.6 não tolera.</t>
        </is>
      </c>
      <c r="E140" s="70" t="inlineStr">
        <is>
          <t>Sim</t>
        </is>
      </c>
      <c r="F140" s="70" t="inlineStr">
        <is>
          <t>Não</t>
        </is>
      </c>
      <c r="G140" s="70" t="inlineStr">
        <is>
          <t>Ghidra/otool</t>
        </is>
      </c>
      <c r="H140" s="70" t="inlineStr">
        <is>
          <t>Parcial</t>
        </is>
      </c>
      <c r="I140" s="70" t="inlineStr">
        <is>
          <t>mafw.asm 34570, 34356, 34180-34258, 42088, 13949, 17020; kernel.asm (__ZdlPv, probeCandidates); audio.asm; capture 75; R22; R27; R29; A4 H2/H11</t>
        </is>
      </c>
      <c r="J140" s="70">
        <f>IF(TRIM(I140)="",0,LEN(I140)-LEN(SUBSTITUTE(I140,";",""))+1)</f>
        <v/>
      </c>
      <c r="K140" s="70" t="inlineStr">
        <is>
          <t>Corrigido 2026-10-14</t>
        </is>
      </c>
      <c r="L140" s="70">
        <f>ROUND(IF(H140="Sim",MIN(Legenda!$C$12,MIN(10,IF(E140="Sim",Legenda!$C$4,IF(E140="Parcial",Legenda!$C$5,0))+IF(F140="Sim",Legenda!$C$6,IF(F140="Parcial",Legenda!$C$7,0))+IF(G140="otool + Ghidra",Legenda!$C$8,IF(OR(G140="otool",G140="Ghidra",G140="Outro binário"),Legenda!$C$9,0))+MIN(Legenda!$C$11,MAX(0,J140-1)*Legenda!$C$10))),IF(H140="Parcial",MIN(Legenda!$C$13,MIN(10,IF(E140="Sim",Legenda!$C$4,IF(E140="Parcial",Legenda!$C$5,0))+IF(F140="Sim",Legenda!$C$6,IF(F140="Parcial",Legenda!$C$7,0))+IF(G140="otool + Ghidra",Legenda!$C$8,IF(OR(G140="otool",G140="Ghidra",G140="Outro binário"),Legenda!$C$9,0))+MIN(Legenda!$C$11,MAX(0,J140-1)*Legenda!$C$10))),MIN(10,IF(E140="Sim",Legenda!$C$4,IF(E140="Parcial",Legenda!$C$5,0))+IF(F140="Sim",Legenda!$C$6,IF(F140="Parcial",Legenda!$C$7,0))+IF(G140="otool + Ghidra",Legenda!$C$8,IF(OR(G140="otool",G140="Ghidra",G140="Outro binário"),Legenda!$C$9,0))+MIN(Legenda!$C$11,MAX(0,J140-1)*Legenda!$C$10)))),1)</f>
        <v/>
      </c>
      <c r="M140" s="70" t="inlineStr">
        <is>
          <t>A1-ghidra/Q-SDK5-first-round-probe-reject.md; R31</t>
        </is>
      </c>
      <c r="N140" s="70" t="inlineStr">
        <is>
          <t>—</t>
        </is>
      </c>
      <c r="O140" s="70" t="inlineStr">
        <is>
          <t>[2026-10-14, R31] Fechado. Não verificado: tolerância a NULL do kernel SL; rodada 2 (accept-&gt;start-&gt;initHardware) nunca executada no 10.13.6; Model_ID/estado no pânico não gravado.</t>
        </is>
      </c>
      <c r="P140" s="70">
        <f>LEFT(A140,FIND(".",A140&amp;".")-1)</f>
        <v/>
      </c>
    </row>
    <row r="141">
      <c r="A141" s="70" t="inlineStr">
        <is>
          <t>A4-H12</t>
        </is>
      </c>
      <c r="B141" s="70" t="inlineStr">
        <is>
          <t>A4</t>
        </is>
      </c>
      <c r="C141" s="70" t="inlineStr">
        <is>
          <t>Helper do projeto vs. o que o D1 exige</t>
        </is>
      </c>
      <c r="D141" s="70" t="inlineStr">
        <is>
          <t>O firmware-helper atual casa IOFireWireUnit/0x10070, fala o protocolo BeBoB direto via IOFireWireLib e nunca escreve MAFirmwareStart/Halt/UpgradeImage; com o kext de referência nunca dispararia a 2ª rodada. D1 exige helper no estilo MAFireWireLoader.</t>
        </is>
      </c>
      <c r="E141" s="70" t="inlineStr">
        <is>
          <t>Sim</t>
        </is>
      </c>
      <c r="F141" s="70" t="inlineStr">
        <is>
          <t>Não</t>
        </is>
      </c>
      <c r="G141" s="70" t="inlineStr">
        <is>
          <t>Outro binário</t>
        </is>
      </c>
      <c r="H141" s="70" t="inlineStr">
        <is>
          <t>Não</t>
        </is>
      </c>
      <c r="I141" s="70" t="inlineStr">
        <is>
          <t>main.cpp (helper); A4-H2; A4-H11; R31</t>
        </is>
      </c>
      <c r="J141" s="70">
        <f>IF(TRIM(I141)="",0,LEN(I141)-LEN(SUBSTITUTE(I141,";",""))+1)</f>
        <v/>
      </c>
      <c r="K141" s="70" t="inlineStr">
        <is>
          <t>Consistente</t>
        </is>
      </c>
      <c r="L141" s="70">
        <f>ROUND(IF(H141="Sim",MIN(Legenda!$C$12,MIN(10,IF(E141="Sim",Legenda!$C$4,IF(E141="Parcial",Legenda!$C$5,0))+IF(F141="Sim",Legenda!$C$6,IF(F141="Parcial",Legenda!$C$7,0))+IF(G141="otool + Ghidra",Legenda!$C$8,IF(OR(G141="otool",G141="Ghidra",G141="Outro binário"),Legenda!$C$9,0))+MIN(Legenda!$C$11,MAX(0,J141-1)*Legenda!$C$10))),IF(H141="Parcial",MIN(Legenda!$C$13,MIN(10,IF(E141="Sim",Legenda!$C$4,IF(E141="Parcial",Legenda!$C$5,0))+IF(F141="Sim",Legenda!$C$6,IF(F141="Parcial",Legenda!$C$7,0))+IF(G141="otool + Ghidra",Legenda!$C$8,IF(OR(G141="otool",G141="Ghidra",G141="Outro binário"),Legenda!$C$9,0))+MIN(Legenda!$C$11,MAX(0,J141-1)*Legenda!$C$10))),MIN(10,IF(E141="Sim",Legenda!$C$4,IF(E141="Parcial",Legenda!$C$5,0))+IF(F141="Sim",Legenda!$C$6,IF(F141="Parcial",Legenda!$C$7,0))+IF(G141="otool + Ghidra",Legenda!$C$8,IF(OR(G141="otool",G141="Ghidra",G141="Outro binário"),Legenda!$C$9,0))+MIN(Legenda!$C$11,MAX(0,J141-1)*Legenda!$C$10)))),1)</f>
        <v/>
      </c>
      <c r="M141" s="70" t="inlineStr">
        <is>
          <t>A4-helper/H12-project-helper-vs-d1.md; R32</t>
        </is>
      </c>
      <c r="N141" s="70" t="inlineStr">
        <is>
          <t>—</t>
        </is>
      </c>
      <c r="O141" s="70" t="inlineStr">
        <is>
          <t>[2026-10-14] Fechado. Não verificado: FirmwareUpdate (BeBoB251/32) no 10.13.6. ID de runtime 0x10051 obsoleto nos comentários.</t>
        </is>
      </c>
      <c r="P141" s="70">
        <f>LEFT(A141,FIND(".",A141&amp;".")-1)</f>
        <v/>
      </c>
    </row>
    <row r="142">
      <c r="A142" s="70" t="inlineStr">
        <is>
          <t>A1-Q-D1.1</t>
        </is>
      </c>
      <c r="B142" s="70" t="inlineStr">
        <is>
          <t>A1</t>
        </is>
      </c>
      <c r="C142" s="70" t="inlineStr">
        <is>
          <t>Revisão estática da rodada 2 (D1)</t>
        </is>
      </c>
      <c r="D142" s="70" t="inlineStr">
        <is>
          <t>Tabela de estágios S1–S10, registro de riscos R-1..R-7 e escada de testes T1–T5 para depois do 2º registro do nub no 10.13.6. Corrige o Q1b (DCL clássico "provado" pelo kext 2014 é afirmação sem suporte).</t>
        </is>
      </c>
      <c r="E142" s="70" t="inlineStr">
        <is>
          <t>Sim</t>
        </is>
      </c>
      <c r="F142" s="70" t="inlineStr">
        <is>
          <t>Não</t>
        </is>
      </c>
      <c r="G142" s="70" t="inlineStr">
        <is>
          <t>Ghidra/otool</t>
        </is>
      </c>
      <c r="H142" s="70" t="inlineStr">
        <is>
          <t>Parcial</t>
        </is>
      </c>
      <c r="I142" s="70" t="inlineStr">
        <is>
          <t>mafw.asm; audio.asm; AppleFWOHCI.asm; kernel.asm; IOFireWireFamily 4.8.3 (fonte); R31</t>
        </is>
      </c>
      <c r="J142" s="70">
        <f>IF(TRIM(I142)="",0,LEN(I142)-LEN(SUBSTITUTE(I142,";",""))+1)</f>
        <v/>
      </c>
      <c r="K142" s="70" t="inlineStr">
        <is>
          <t>Corrigido 2026-10-14</t>
        </is>
      </c>
      <c r="L142" s="70">
        <f>ROUND(IF(H142="Sim",MIN(Legenda!$C$12,MIN(10,IF(E142="Sim",Legenda!$C$4,IF(E142="Parcial",Legenda!$C$5,0))+IF(F142="Sim",Legenda!$C$6,IF(F142="Parcial",Legenda!$C$7,0))+IF(G142="otool + Ghidra",Legenda!$C$8,IF(OR(G142="otool",G142="Ghidra",G142="Outro binário"),Legenda!$C$9,0))+MIN(Legenda!$C$11,MAX(0,J142-1)*Legenda!$C$10))),IF(H142="Parcial",MIN(Legenda!$C$13,MIN(10,IF(E142="Sim",Legenda!$C$4,IF(E142="Parcial",Legenda!$C$5,0))+IF(F142="Sim",Legenda!$C$6,IF(F142="Parcial",Legenda!$C$7,0))+IF(G142="otool + Ghidra",Legenda!$C$8,IF(OR(G142="otool",G142="Ghidra",G142="Outro binário"),Legenda!$C$9,0))+MIN(Legenda!$C$11,MAX(0,J142-1)*Legenda!$C$10))),MIN(10,IF(E142="Sim",Legenda!$C$4,IF(E142="Parcial",Legenda!$C$5,0))+IF(F142="Sim",Legenda!$C$6,IF(F142="Parcial",Legenda!$C$7,0))+IF(G142="otool + Ghidra",Legenda!$C$8,IF(OR(G142="otool",G142="Ghidra",G142="Outro binário"),Legenda!$C$9,0))+MIN(Legenda!$C$11,MAX(0,J142-1)*Legenda!$C$10)))),1)</f>
        <v/>
      </c>
      <c r="M142" s="70" t="inlineStr">
        <is>
          <t>A1-ghidra/Q-D1-round-two-static-review.md; R33</t>
        </is>
      </c>
      <c r="N142" s="70" t="inlineStr">
        <is>
          <t>—</t>
        </is>
      </c>
      <c r="O142" s="70" t="inlineStr">
        <is>
          <t>[2026-10-14] Fechado como mapa de risco, NÃO como prova de que a rodada 2 funciona. Faltam: corpos de Build*DCLProgram, generateBufferMap, comportamento do IOAudioFamily no 10.13.6, AppleFWAudio.</t>
        </is>
      </c>
      <c r="P142" s="70">
        <f>LEFT(A142,FIND(".",A142&amp;".")-1)</f>
        <v/>
      </c>
    </row>
    <row r="143">
      <c r="A143" s="70" t="inlineStr">
        <is>
          <t>C5.2</t>
        </is>
      </c>
      <c r="B143" s="70" t="inlineStr">
        <is>
          <t>C5</t>
        </is>
      </c>
      <c r="C143" s="70" t="inlineStr">
        <is>
          <t>Seletores 506/507 e consolidação dos C-docs (P5)</t>
        </is>
      </c>
      <c r="D143" s="70" t="inlineStr">
        <is>
          <t>506 = WaitForTermination (espera bloqueante por semáforo Mach, liberada em stop), 507 = SetInitializedProperty (MADeviceInitialized=1); 0x620/0x518 são tamanhos de classe, não de pacote; C1–C6 consolidados.</t>
        </is>
      </c>
      <c r="E143" s="70" t="inlineStr">
        <is>
          <t>Sim</t>
        </is>
      </c>
      <c r="F143" s="70" t="inlineStr">
        <is>
          <t>Sim</t>
        </is>
      </c>
      <c r="G143" s="70" t="inlineStr">
        <is>
          <t>otool + Ghidra</t>
        </is>
      </c>
      <c r="H143" s="70" t="inlineStr">
        <is>
          <t>Não</t>
        </is>
      </c>
      <c r="I143" s="70" t="inlineStr">
        <is>
          <t>mafw.asm 0x761e, 0x71f6, 0x766c; FWEngine2::initHardware; capture 72; capture 74; R35</t>
        </is>
      </c>
      <c r="J143" s="70">
        <f>IF(TRIM(I143)="",0,LEN(I143)-LEN(SUBSTITUTE(I143,";",""))+1)</f>
        <v/>
      </c>
      <c r="K143" s="70" t="inlineStr">
        <is>
          <t>Corrigido 2026-10-14</t>
        </is>
      </c>
      <c r="L143" s="70">
        <f>ROUND(IF(H143="Sim",MIN(Legenda!$C$12,MIN(10,IF(E143="Sim",Legenda!$C$4,IF(E143="Parcial",Legenda!$C$5,0))+IF(F143="Sim",Legenda!$C$6,IF(F143="Parcial",Legenda!$C$7,0))+IF(G143="otool + Ghidra",Legenda!$C$8,IF(OR(G143="otool",G143="Ghidra",G143="Outro binário"),Legenda!$C$9,0))+MIN(Legenda!$C$11,MAX(0,J143-1)*Legenda!$C$10))),IF(H143="Parcial",MIN(Legenda!$C$13,MIN(10,IF(E143="Sim",Legenda!$C$4,IF(E143="Parcial",Legenda!$C$5,0))+IF(F143="Sim",Legenda!$C$6,IF(F143="Parcial",Legenda!$C$7,0))+IF(G143="otool + Ghidra",Legenda!$C$8,IF(OR(G143="otool",G143="Ghidra",G143="Outro binário"),Legenda!$C$9,0))+MIN(Legenda!$C$11,MAX(0,J143-1)*Legenda!$C$10))),MIN(10,IF(E143="Sim",Legenda!$C$4,IF(E143="Parcial",Legenda!$C$5,0))+IF(F143="Sim",Legenda!$C$6,IF(F143="Parcial",Legenda!$C$7,0))+IF(G143="otool + Ghidra",Legenda!$C$8,IF(OR(G143="otool",G143="Ghidra",G143="Outro binário"),Legenda!$C$9,0))+MIN(Legenda!$C$11,MAX(0,J143-1)*Legenda!$C$10)))),1)</f>
        <v/>
      </c>
      <c r="M143" s="70" t="inlineStr">
        <is>
          <t>C5-userclient-surface.md; C4-transport-control-path.md; R35</t>
        </is>
      </c>
      <c r="N143" s="70" t="inlineStr">
        <is>
          <t>—</t>
        </is>
      </c>
      <c r="O143" s="70" t="inlineStr">
        <is>
          <t>[2026-10-14] Registrado ao fechar o P5. Não verificado: chamadores dos seletores 503/504/505/507; atribuição das 2 outras regiões SHM.</t>
        </is>
      </c>
      <c r="P143" s="70">
        <f>LEFT(A143,FIND(".",A143&amp;".")-1)</f>
        <v/>
      </c>
    </row>
    <row r="144">
      <c r="A144" s="70" t="inlineStr">
        <is>
          <t>A1-QP1P2.1</t>
        </is>
      </c>
      <c r="B144" s="70" t="inlineStr">
        <is>
          <t>A1</t>
        </is>
      </c>
      <c r="C144" s="70" t="inlineStr">
        <is>
          <t>Aceitação do DCL clássico (generateBufferMap) e memória do pool (P1/P2)</t>
        </is>
      </c>
      <c r="D144" s="70" t="inlineStr">
        <is>
          <t>generateBufferMap exige um único intervalo virtual mapeado com todos os buffers de transferência e slots de timestamp; o kext os coloca na alocação do TPacketPool (timestamps na última página). A alocação é KMA_LOMEM (&lt;4 GiB, virtualmente contígua, não fisicamente contígua).</t>
        </is>
      </c>
      <c r="E144" s="70" t="inlineStr">
        <is>
          <t>Sim</t>
        </is>
      </c>
      <c r="F144" s="70" t="inlineStr">
        <is>
          <t>Não</t>
        </is>
      </c>
      <c r="G144" s="70" t="inlineStr">
        <is>
          <t>otool + Ghidra</t>
        </is>
      </c>
      <c r="H144" s="70" t="inlineStr">
        <is>
          <t>Parcial</t>
        </is>
      </c>
      <c r="I144" s="70" t="inlineStr">
        <is>
          <t>fam.asm 0x17396; AppleFWOHCI.asm 0x89d0; kernel.asm 0x89eb50, 0x85d4e0, 0x3296f0; mafw.asm 0xa3e6, 0x25e56; IOFireWireFamily 4.8.3 (fonte); R36</t>
        </is>
      </c>
      <c r="J144" s="70">
        <f>IF(TRIM(I144)="",0,LEN(I144)-LEN(SUBSTITUTE(I144,";",""))+1)</f>
        <v/>
      </c>
      <c r="K144" s="70" t="inlineStr">
        <is>
          <t>Corrigido 2026-10-14</t>
        </is>
      </c>
      <c r="L144" s="70">
        <f>ROUND(IF(H144="Sim",MIN(Legenda!$C$12,MIN(10,IF(E144="Sim",Legenda!$C$4,IF(E144="Parcial",Legenda!$C$5,0))+IF(F144="Sim",Legenda!$C$6,IF(F144="Parcial",Legenda!$C$7,0))+IF(G144="otool + Ghidra",Legenda!$C$8,IF(OR(G144="otool",G144="Ghidra",G144="Outro binário"),Legenda!$C$9,0))+MIN(Legenda!$C$11,MAX(0,J144-1)*Legenda!$C$10))),IF(H144="Parcial",MIN(Legenda!$C$13,MIN(10,IF(E144="Sim",Legenda!$C$4,IF(E144="Parcial",Legenda!$C$5,0))+IF(F144="Sim",Legenda!$C$6,IF(F144="Parcial",Legenda!$C$7,0))+IF(G144="otool + Ghidra",Legenda!$C$8,IF(OR(G144="otool",G144="Ghidra",G144="Outro binário"),Legenda!$C$9,0))+MIN(Legenda!$C$11,MAX(0,J144-1)*Legenda!$C$10))),MIN(10,IF(E144="Sim",Legenda!$C$4,IF(E144="Parcial",Legenda!$C$5,0))+IF(F144="Sim",Legenda!$C$6,IF(F144="Parcial",Legenda!$C$7,0))+IF(G144="otool + Ghidra",Legenda!$C$8,IF(OR(G144="otool",G144="Ghidra",G144="Outro binário"),Legenda!$C$9,0))+MIN(Legenda!$C$11,MAX(0,J144-1)*Legenda!$C$10)))),1)</f>
        <v/>
      </c>
      <c r="M144" s="70" t="inlineStr">
        <is>
          <t>A1-ghidra/Q-P1P2-dcl-acceptance-and-pool-memory.md; R36</t>
        </is>
      </c>
      <c r="N144" s="70" t="inlineStr">
        <is>
          <t>—</t>
        </is>
      </c>
      <c r="O144" s="70" t="inlineStr">
        <is>
          <t>[2026-10-14] Fechado como leitura estática. Não verificado: sucesso em tempo de execução (M-B), translateLegacyProgram caso a caso, IOMapper do build PC.</t>
        </is>
      </c>
      <c r="P144" s="70">
        <f>LEFT(A144,FIND(".",A144&amp;".")-1)</f>
        <v/>
      </c>
    </row>
    <row r="145">
      <c r="A145" s="70" t="inlineStr">
        <is>
          <t>A1-QP3.1</t>
        </is>
      </c>
      <c r="B145" s="70" t="inlineStr">
        <is>
          <t>A1</t>
        </is>
      </c>
      <c r="C145" s="70" t="inlineStr">
        <is>
          <t>Caminho de firmware no kext (fecha A1-Q18 e A1-Q19)</t>
        </is>
      </c>
      <c r="D145" s="70" t="inlineStr">
        <is>
          <t>O kext fala o protocolo do bootloader BeBoB (comandos Reset/DownloadStart/Block/End/Go em C8021000, payload em C8021040, resposta em C8029000, info 0x50 B em C8020000); 3 chaves de propriedade no nub; MAFirmwareInfo = info_register_t; [+0x98] = versão do protocolo.</t>
        </is>
      </c>
      <c r="E145" s="70" t="inlineStr">
        <is>
          <t>Sim</t>
        </is>
      </c>
      <c r="F145" s="70" t="inlineStr">
        <is>
          <t>Sim</t>
        </is>
      </c>
      <c r="G145" s="70" t="inlineStr">
        <is>
          <t>otool + Ghidra</t>
        </is>
      </c>
      <c r="H145" s="70" t="inlineStr">
        <is>
          <t>Não</t>
        </is>
      </c>
      <c r="I145" s="70" t="inlineStr">
        <is>
          <t>mafw.asm 0x1c908, 0x1ca24, 0x1c75a, 0x1c5f2, 0x1c468, 0x1c332, 0x1c28c, 0x1c1f2, 0x1cc9e; FFADO bebob_dl_*; captura 12:3920; fw1814.bcd; R37</t>
        </is>
      </c>
      <c r="J145" s="70">
        <f>IF(TRIM(I145)="",0,LEN(I145)-LEN(SUBSTITUTE(I145,";",""))+1)</f>
        <v/>
      </c>
      <c r="K145" s="70" t="inlineStr">
        <is>
          <t>Corrigido 2026-10-14</t>
        </is>
      </c>
      <c r="L145" s="70">
        <f>ROUND(IF(H145="Sim",MIN(Legenda!$C$12,MIN(10,IF(E145="Sim",Legenda!$C$4,IF(E145="Parcial",Legenda!$C$5,0))+IF(F145="Sim",Legenda!$C$6,IF(F145="Parcial",Legenda!$C$7,0))+IF(G145="otool + Ghidra",Legenda!$C$8,IF(OR(G145="otool",G145="Ghidra",G145="Outro binário"),Legenda!$C$9,0))+MIN(Legenda!$C$11,MAX(0,J145-1)*Legenda!$C$10))),IF(H145="Parcial",MIN(Legenda!$C$13,MIN(10,IF(E145="Sim",Legenda!$C$4,IF(E145="Parcial",Legenda!$C$5,0))+IF(F145="Sim",Legenda!$C$6,IF(F145="Parcial",Legenda!$C$7,0))+IF(G145="otool + Ghidra",Legenda!$C$8,IF(OR(G145="otool",G145="Ghidra",G145="Outro binário"),Legenda!$C$9,0))+MIN(Legenda!$C$11,MAX(0,J145-1)*Legenda!$C$10))),MIN(10,IF(E145="Sim",Legenda!$C$4,IF(E145="Parcial",Legenda!$C$5,0))+IF(F145="Sim",Legenda!$C$6,IF(F145="Parcial",Legenda!$C$7,0))+IF(G145="otool + Ghidra",Legenda!$C$8,IF(OR(G145="otool",G145="Ghidra",G145="Outro binário"),Legenda!$C$9,0))+MIN(Legenda!$C$11,MAX(0,J145-1)*Legenda!$C$10)))),1)</f>
        <v/>
      </c>
      <c r="M145" s="70" t="inlineStr">
        <is>
          <t>A1-ghidra/Q-P3-kext-firmware-path.md; R37</t>
        </is>
      </c>
      <c r="N145" s="70" t="inlineStr">
        <is>
          <t>—</t>
        </is>
      </c>
      <c r="O145" s="70" t="inlineStr">
        <is>
          <t>[2026-10-14] Fechado. Corrige: resetBus+3,5 s só no caminho de erro; [+0x98]=versão do protocolo. Não verificado: CRC extra no DownloadEnd, FirmwareUpdateBeBoB32 em hardware, 10.13.6.</t>
        </is>
      </c>
      <c r="P145" s="70">
        <f>LEFT(A145,FIND(".",A145&amp;".")-1)</f>
        <v/>
      </c>
    </row>
    <row r="146">
      <c r="A146" s="70" t="inlineStr">
        <is>
          <t>A1-QP4.1</t>
        </is>
      </c>
      <c r="B146" s="70" t="inlineStr">
        <is>
          <t>A1</t>
        </is>
      </c>
      <c r="C146" s="70" t="inlineStr">
        <is>
          <t>Parâmetros CMP/pacote/banda por taxa e estado de energização do mixer (P4)</t>
        </is>
      </c>
      <c r="D146" s="70" t="inlineStr">
        <is>
          <t>Quatro tabelas DeviceChannels (entrada pelo bit 3, saída pelo bit 4 do MAClockSource), m=1, bytes de pacote 4(a+m)SYT+8/12, páginas do pool, banda (in+out+2m)·SYT·4+16, velocidade S400; o estado de fábrica do mixer É enviado no init (clock blank-slate → resend → HSCI poll).</t>
        </is>
      </c>
      <c r="E146" s="70" t="inlineStr">
        <is>
          <t>Sim</t>
        </is>
      </c>
      <c r="F146" s="70" t="inlineStr">
        <is>
          <t>Sim</t>
        </is>
      </c>
      <c r="G146" s="70" t="inlineStr">
        <is>
          <t>otool + llvm-objdump</t>
        </is>
      </c>
      <c r="H146" s="70" t="inlineStr">
        <is>
          <t>Parcial</t>
        </is>
      </c>
      <c r="I146" s="70" t="inlineStr">
        <is>
          <t>mafw.asm 0xc998, 0x272f4, 0x1ee2, 0x22e8, 0x22ed2, 0xd014, 0xe064, 0xd952; tabelas 0x363c0/0x364a0/0x36580/0x4ab80; capturas 12/40/50/72/74; R38</t>
        </is>
      </c>
      <c r="J146" s="70">
        <f>IF(TRIM(I146)="",0,LEN(I146)-LEN(SUBSTITUTE(I146,";",""))+1)</f>
        <v/>
      </c>
      <c r="K146" s="70" t="inlineStr">
        <is>
          <t>Corrigido 2026-10-14</t>
        </is>
      </c>
      <c r="L146" s="70">
        <f>ROUND(IF(H146="Sim",MIN(Legenda!$C$12,MIN(10,IF(E146="Sim",Legenda!$C$4,IF(E146="Parcial",Legenda!$C$5,0))+IF(F146="Sim",Legenda!$C$6,IF(F146="Parcial",Legenda!$C$7,0))+IF(G146="otool + Ghidra",Legenda!$C$8,IF(OR(G146="otool",G146="Ghidra",G146="Outro binário"),Legenda!$C$9,0))+MIN(Legenda!$C$11,MAX(0,J146-1)*Legenda!$C$10))),IF(H146="Parcial",MIN(Legenda!$C$13,MIN(10,IF(E146="Sim",Legenda!$C$4,IF(E146="Parcial",Legenda!$C$5,0))+IF(F146="Sim",Legenda!$C$6,IF(F146="Parcial",Legenda!$C$7,0))+IF(G146="otool + Ghidra",Legenda!$C$8,IF(OR(G146="otool",G146="Ghidra",G146="Outro binário"),Legenda!$C$9,0))+MIN(Legenda!$C$11,MAX(0,J146-1)*Legenda!$C$10))),MIN(10,IF(E146="Sim",Legenda!$C$4,IF(E146="Parcial",Legenda!$C$5,0))+IF(F146="Sim",Legenda!$C$6,IF(F146="Parcial",Legenda!$C$7,0))+IF(G146="otool + Ghidra",Legenda!$C$8,IF(OR(G146="otool",G146="Ghidra",G146="Outro binário"),Legenda!$C$9,0))+MIN(Legenda!$C$11,MAX(0,J146-1)*Legenda!$C$10)))),1)</f>
        <v/>
      </c>
      <c r="M146" s="70" t="inlineStr">
        <is>
          <t>A1-ghidra/Q-P4-cmp-per-rate-and-mixer-power-on.md; R38</t>
        </is>
      </c>
      <c r="N146" s="70" t="inlineStr">
        <is>
          <t>—</t>
        </is>
      </c>
      <c r="O146" s="70" t="inlineStr">
        <is>
          <t>[2026-10-14] Fechado. Abertos: ordem dos half-words do MAInputPan2, imagem inicial do 0x98, quadros AV/C (aux pan, roteamento SW return), +0x30/+0x40.. do DeviceChannels, aritmética de banda IRM.</t>
        </is>
      </c>
      <c r="P146" s="70">
        <f>LEFT(A146,FIND(".",A146&amp;".")-1)</f>
        <v/>
      </c>
    </row>
    <row r="147">
      <c r="A147" s="70" t="inlineStr">
        <is>
          <t>BUILD-P6</t>
        </is>
      </c>
      <c r="B147" s="70" t="inlineStr">
        <is>
          <t>Build</t>
        </is>
      </c>
      <c r="C147" s="70" t="inlineStr">
        <is>
          <t>Oráculo de verificação (P6)</t>
        </is>
      </c>
      <c r="D147" s="70" t="inlineStr">
        <is>
          <t>Especificação do que é "correto" por marco: vetores estáticos, diffs de ioreg, replay de setProperties, logs de terceiros, capturas novas propostas e aceite em hardware; layout do harness tests/.</t>
        </is>
      </c>
      <c r="E147" s="70" t="inlineStr">
        <is>
          <t>Não</t>
        </is>
      </c>
      <c r="F147" s="70" t="inlineStr">
        <is>
          <t>Parcial</t>
        </is>
      </c>
      <c r="G147" s="70" t="inlineStr">
        <is>
          <t>Leitura de capturas B5 + macfw</t>
        </is>
      </c>
      <c r="H147" s="70" t="inlineStr">
        <is>
          <t>Parcial</t>
        </is>
      </c>
      <c r="I147" s="70" t="inlineStr">
        <is>
          <t>B5 §12; capturas 12, 60-74; macfw first-duplex-capture-success; PROVENANCE-RESOLUTIONS R39</t>
        </is>
      </c>
      <c r="J147" s="70">
        <f>IF(TRIM(I147)="",0,LEN(I147)-LEN(SUBSTITUTE(I147,";",""))+1)</f>
        <v/>
      </c>
      <c r="K147" s="70" t="inlineStr">
        <is>
          <t>Consistente</t>
        </is>
      </c>
      <c r="L147" s="70">
        <f>ROUND(IF(H147="Sim",MIN(Legenda!$C$12,MIN(10,IF(E147="Sim",Legenda!$C$4,IF(E147="Parcial",Legenda!$C$5,0))+IF(F147="Sim",Legenda!$C$6,IF(F147="Parcial",Legenda!$C$7,0))+IF(G147="otool + Ghidra",Legenda!$C$8,IF(OR(G147="otool",G147="Ghidra",G147="Outro binário"),Legenda!$C$9,0))+MIN(Legenda!$C$11,MAX(0,J147-1)*Legenda!$C$10))),IF(H147="Parcial",MIN(Legenda!$C$13,MIN(10,IF(E147="Sim",Legenda!$C$4,IF(E147="Parcial",Legenda!$C$5,0))+IF(F147="Sim",Legenda!$C$6,IF(F147="Parcial",Legenda!$C$7,0))+IF(G147="otool + Ghidra",Legenda!$C$8,IF(OR(G147="otool",G147="Ghidra",G147="Outro binário"),Legenda!$C$9,0))+MIN(Legenda!$C$11,MAX(0,J147-1)*Legenda!$C$10))),MIN(10,IF(E147="Sim",Legenda!$C$4,IF(E147="Parcial",Legenda!$C$5,0))+IF(F147="Sim",Legenda!$C$6,IF(F147="Parcial",Legenda!$C$7,0))+IF(G147="otool + Ghidra",Legenda!$C$8,IF(OR(G147="otool",G147="Ghidra",G147="Outro binário"),Legenda!$C$9,0))+MIN(Legenda!$C$11,MAX(0,J147-1)*Legenda!$C$10)))),1)</f>
        <v/>
      </c>
      <c r="M147" s="70" t="inlineStr">
        <is>
          <t>P6-verification-oracle.md; R39</t>
        </is>
      </c>
      <c r="N147" s="70" t="inlineStr">
        <is>
          <t>—</t>
        </is>
      </c>
      <c r="O147" s="70" t="inlineStr">
        <is>
          <t>[2026-10-14] Fechado como especificação. Abertos: bytes FCP/HSCI/isócronos da referência não observáveis no SL (O5-a precisa de segundo nó FireWire; O5-b pid$target não testado); aceite do DCL (M-B) só em execução.</t>
        </is>
      </c>
      <c r="P147" s="70">
        <f>LEFT(A147,FIND(".",A147&amp;".")-1)</f>
        <v/>
      </c>
    </row>
    <row r="148">
      <c r="A148" s="70" t="inlineStr">
        <is>
          <t>A1-Q-DCL.5</t>
        </is>
      </c>
      <c r="B148" s="70" t="inlineStr">
        <is>
          <t>A1</t>
        </is>
      </c>
      <c r="C148" s="70" t="inlineStr">
        <is>
          <t>Callback TX (OutputDCLCallback @0x263c2)</t>
        </is>
      </c>
      <c r="D148" s="70" t="inlineStr">
        <is>
          <t>Por banco: cadência dado/NODATA por acumulador, SYT como tempo de apresentação (24,576 MHz), DBC +SYT interval a cada pacote, janela de 2048 amostras, reajuste do salto (pula até 4 primers), SetValidPackets, InitGroupCIPsForOutput.</t>
        </is>
      </c>
      <c r="E148" s="70" t="inlineStr">
        <is>
          <t>Sim</t>
        </is>
      </c>
      <c r="F148" s="70" t="inlineStr">
        <is>
          <t>Não</t>
        </is>
      </c>
      <c r="G148" s="70" t="inlineStr">
        <is>
          <t>otool + Ghidra</t>
        </is>
      </c>
      <c r="H148" s="70" t="inlineStr">
        <is>
          <t>Não</t>
        </is>
      </c>
      <c r="I148" s="70" t="inlineStr">
        <is>
          <t>asm mafw.asm 46269-46606; ghidra-exports/decomp/q-mb-dcl-callbacks.c l.593; Q2 (SetupCIP); CalcIsochPacketHeaders decomp</t>
        </is>
      </c>
      <c r="J148" s="70">
        <f>IF(TRIM(I148)="",0,LEN(I148)-LEN(SUBSTITUTE(I148,";",""))+1)</f>
        <v/>
      </c>
      <c r="K148" s="70" t="inlineStr">
        <is>
          <t>Consistente</t>
        </is>
      </c>
      <c r="L148" s="70">
        <f>ROUND(IF(H148="Sim",MIN(Legenda!$C$12,MIN(10,IF(E148="Sim",Legenda!$C$4,IF(E148="Parcial",Legenda!$C$5,0))+IF(F148="Sim",Legenda!$C$6,IF(F148="Parcial",Legenda!$C$7,0))+IF(G148="otool + Ghidra",Legenda!$C$8,IF(OR(G148="otool",G148="Ghidra",G148="Outro binário"),Legenda!$C$9,0))+MIN(Legenda!$C$11,MAX(0,J148-1)*Legenda!$C$10))),IF(H148="Parcial",MIN(Legenda!$C$13,MIN(10,IF(E148="Sim",Legenda!$C$4,IF(E148="Parcial",Legenda!$C$5,0))+IF(F148="Sim",Legenda!$C$6,IF(F148="Parcial",Legenda!$C$7,0))+IF(G148="otool + Ghidra",Legenda!$C$8,IF(OR(G148="otool",G148="Ghidra",G148="Outro binário"),Legenda!$C$9,0))+MIN(Legenda!$C$11,MAX(0,J148-1)*Legenda!$C$10))),MIN(10,IF(E148="Sim",Legenda!$C$4,IF(E148="Parcial",Legenda!$C$5,0))+IF(F148="Sim",Legenda!$C$6,IF(F148="Parcial",Legenda!$C$7,0))+IF(G148="otool + Ghidra",Legenda!$C$8,IF(OR(G148="otool",G148="Ghidra",G148="Outro binário"),Legenda!$C$9,0))+MIN(Legenda!$C$11,MAX(0,J148-1)*Legenda!$C$10)))),1)</f>
        <v/>
      </c>
      <c r="M148" s="70" t="inlineStr">
        <is>
          <t>A1-ghidra/Q-MB-dcl-callbacks.md §3 (R41)</t>
        </is>
      </c>
      <c r="N148" s="70" t="inlineStr">
        <is>
          <t>—</t>
        </is>
      </c>
      <c r="O148" s="70" t="inlineStr">
        <is>
          <t>Ordem dos argumentos de Add/Subtract fixada no asm. Efeito no dispositivo ainda não observado (regra do avião).</t>
        </is>
      </c>
      <c r="P148" s="70">
        <f>LEFT(A148,FIND(".",A148&amp;".")-1)</f>
        <v/>
      </c>
    </row>
    <row r="149">
      <c r="A149" s="70" t="inlineStr">
        <is>
          <t>A1-Q-DCL.6</t>
        </is>
      </c>
      <c r="B149" s="70" t="inlineStr">
        <is>
          <t>A1</t>
        </is>
      </c>
      <c r="C149" s="70" t="inlineStr">
        <is>
          <t>SetTagSyncBits no TX</t>
        </is>
      </c>
      <c r="D149" s="70" t="inlineStr">
        <is>
          <t>SetTagSyncBits(1,0) vai no PRIMEIRO primer de CADA banco (isLast=(primer==0)), não no 'último segmento'. Corrige Q-DCL, C4 §3, Q1a e a memória.</t>
        </is>
      </c>
      <c r="E149" s="70" t="inlineStr">
        <is>
          <t>Sim</t>
        </is>
      </c>
      <c r="F149" s="70" t="inlineStr">
        <is>
          <t>Não</t>
        </is>
      </c>
      <c r="G149" s="70" t="inlineStr">
        <is>
          <t>otool + Ghidra</t>
        </is>
      </c>
      <c r="H149" s="70" t="inlineStr">
        <is>
          <t>Não</t>
        </is>
      </c>
      <c r="I149" s="70" t="inlineStr">
        <is>
          <t>asm 0x25b50..0x25b59; BuildTransmittingDCLProgram</t>
        </is>
      </c>
      <c r="J149" s="70">
        <f>IF(TRIM(I149)="",0,LEN(I149)-LEN(SUBSTITUTE(I149,";",""))+1)</f>
        <v/>
      </c>
      <c r="K149" s="70" t="inlineStr">
        <is>
          <t>Consistente</t>
        </is>
      </c>
      <c r="L149" s="70">
        <f>ROUND(IF(H149="Sim",MIN(Legenda!$C$12,MIN(10,IF(E149="Sim",Legenda!$C$4,IF(E149="Parcial",Legenda!$C$5,0))+IF(F149="Sim",Legenda!$C$6,IF(F149="Parcial",Legenda!$C$7,0))+IF(G149="otool + Ghidra",Legenda!$C$8,IF(OR(G149="otool",G149="Ghidra",G149="Outro binário"),Legenda!$C$9,0))+MIN(Legenda!$C$11,MAX(0,J149-1)*Legenda!$C$10))),IF(H149="Parcial",MIN(Legenda!$C$13,MIN(10,IF(E149="Sim",Legenda!$C$4,IF(E149="Parcial",Legenda!$C$5,0))+IF(F149="Sim",Legenda!$C$6,IF(F149="Parcial",Legenda!$C$7,0))+IF(G149="otool + Ghidra",Legenda!$C$8,IF(OR(G149="otool",G149="Ghidra",G149="Outro binário"),Legenda!$C$9,0))+MIN(Legenda!$C$11,MAX(0,J149-1)*Legenda!$C$10))),MIN(10,IF(E149="Sim",Legenda!$C$4,IF(E149="Parcial",Legenda!$C$5,0))+IF(F149="Sim",Legenda!$C$6,IF(F149="Parcial",Legenda!$C$7,0))+IF(G149="otool + Ghidra",Legenda!$C$8,IF(OR(G149="otool",G149="Ghidra",G149="Outro binário"),Legenda!$C$9,0))+MIN(Legenda!$C$11,MAX(0,J149-1)*Legenda!$C$10)))),1)</f>
        <v/>
      </c>
      <c r="M149" s="70" t="inlineStr">
        <is>
          <t>A1-ghidra/Q-MB-dcl-callbacks.md §7 item 1</t>
        </is>
      </c>
      <c r="N149" s="70" t="inlineStr">
        <is>
          <t>—</t>
        </is>
      </c>
      <c r="O149" s="70" t="inlineStr">
        <is>
          <t>Correção aplicada em Q-DCL, C4, Q1a (2026-10-15).</t>
        </is>
      </c>
      <c r="P149" s="70">
        <f>LEFT(A149,FIND(".",A149&amp;".")-1)</f>
        <v/>
      </c>
    </row>
    <row r="150">
      <c r="A150" s="70" t="inlineStr">
        <is>
          <t>A1-Q-DCL.7</t>
        </is>
      </c>
      <c r="B150" s="70" t="inlineStr">
        <is>
          <t>A1</t>
        </is>
      </c>
      <c r="C150" s="70" t="inlineStr">
        <is>
          <t>takeTimeStamp</t>
        </is>
      </c>
      <c r="D150" s="70" t="inlineStr">
        <is>
          <t>IOAudioEngine::takeTimeStamp(1,&amp;abs) é chamado no callback TX do banco 3 a partir da 3ª volta (vt[0xae0] do engine em shared+0x78; slot identificado pela assinatura). Fecha a pendência de C2 §6.1 / C4 §11.</t>
        </is>
      </c>
      <c r="E150" s="70" t="inlineStr">
        <is>
          <t>Sim</t>
        </is>
      </c>
      <c r="F150" s="70" t="inlineStr">
        <is>
          <t>Não</t>
        </is>
      </c>
      <c r="G150" s="70" t="inlineStr">
        <is>
          <t>otool + Ghidra</t>
        </is>
      </c>
      <c r="H150" s="70" t="inlineStr">
        <is>
          <t>Parcial</t>
        </is>
      </c>
      <c r="I150" s="70" t="inlineStr">
        <is>
          <t>asm 0x64c9..0x64f4; ghidra-exports/decomp/q-mb-dcl-callbacks.c l.675-703</t>
        </is>
      </c>
      <c r="J150" s="70">
        <f>IF(TRIM(I150)="",0,LEN(I150)-LEN(SUBSTITUTE(I150,";",""))+1)</f>
        <v/>
      </c>
      <c r="K150" s="70" t="inlineStr">
        <is>
          <t>Consistente</t>
        </is>
      </c>
      <c r="L150" s="70">
        <f>ROUND(IF(H150="Sim",MIN(Legenda!$C$12,MIN(10,IF(E150="Sim",Legenda!$C$4,IF(E150="Parcial",Legenda!$C$5,0))+IF(F150="Sim",Legenda!$C$6,IF(F150="Parcial",Legenda!$C$7,0))+IF(G150="otool + Ghidra",Legenda!$C$8,IF(OR(G150="otool",G150="Ghidra",G150="Outro binário"),Legenda!$C$9,0))+MIN(Legenda!$C$11,MAX(0,J150-1)*Legenda!$C$10))),IF(H150="Parcial",MIN(Legenda!$C$13,MIN(10,IF(E150="Sim",Legenda!$C$4,IF(E150="Parcial",Legenda!$C$5,0))+IF(F150="Sim",Legenda!$C$6,IF(F150="Parcial",Legenda!$C$7,0))+IF(G150="otool + Ghidra",Legenda!$C$8,IF(OR(G150="otool",G150="Ghidra",G150="Outro binário"),Legenda!$C$9,0))+MIN(Legenda!$C$11,MAX(0,J150-1)*Legenda!$C$10))),MIN(10,IF(E150="Sim",Legenda!$C$4,IF(E150="Parcial",Legenda!$C$5,0))+IF(F150="Sim",Legenda!$C$6,IF(F150="Parcial",Legenda!$C$7,0))+IF(G150="otool + Ghidra",Legenda!$C$8,IF(OR(G150="otool",G150="Ghidra",G150="Outro binário"),Legenda!$C$9,0))+MIN(Legenda!$C$11,MAX(0,J150-1)*Legenda!$C$10)))),1)</f>
        <v/>
      </c>
      <c r="M150" s="70" t="inlineStr">
        <is>
          <t>A1-ghidra/Q-MB-dcl-callbacks.md §3</t>
        </is>
      </c>
      <c r="N150" s="70" t="inlineStr">
        <is>
          <t>—</t>
        </is>
      </c>
      <c r="O150" s="70" t="inlineStr">
        <is>
          <t>vt[0xae0]=takeTimeStamp é inferência pela assinatura (rotulado no doc).</t>
        </is>
      </c>
      <c r="P150" s="70">
        <f>LEFT(A150,FIND(".",A150&amp;".")-1)</f>
        <v/>
      </c>
    </row>
    <row r="151">
      <c r="A151" s="70" t="inlineStr">
        <is>
          <t>A1-Q-DCL.8</t>
        </is>
      </c>
      <c r="B151" s="70" t="inlineStr">
        <is>
          <t>A1</t>
        </is>
      </c>
      <c r="C151" s="70" t="inlineStr">
        <is>
          <t>Modo de sincronismo externo</t>
        </is>
      </c>
      <c r="D151" s="70" t="inlineStr">
        <is>
          <t>Flag +0x618 = FWEngine2::SetExternalSyncEnabled; com ≥ P+4 SYTs enfileirados o TX reproduz os SYTs recebidos em vez dos acumuladores livres.</t>
        </is>
      </c>
      <c r="E151" s="70" t="inlineStr">
        <is>
          <t>Sim</t>
        </is>
      </c>
      <c r="F151" s="70" t="inlineStr">
        <is>
          <t>Não</t>
        </is>
      </c>
      <c r="G151" s="70" t="inlineStr">
        <is>
          <t>otool + Ghidra</t>
        </is>
      </c>
      <c r="H151" s="70" t="inlineStr">
        <is>
          <t>Não</t>
        </is>
      </c>
      <c r="I151" s="70" t="inlineStr">
        <is>
          <t>asm 0x11bc0..0x11bf9 (SetExternalSyncEnabled); asm 0x65bb..0x6677</t>
        </is>
      </c>
      <c r="J151" s="70">
        <f>IF(TRIM(I151)="",0,LEN(I151)-LEN(SUBSTITUTE(I151,";",""))+1)</f>
        <v/>
      </c>
      <c r="K151" s="70" t="inlineStr">
        <is>
          <t>Consistente</t>
        </is>
      </c>
      <c r="L151" s="70">
        <f>ROUND(IF(H151="Sim",MIN(Legenda!$C$12,MIN(10,IF(E151="Sim",Legenda!$C$4,IF(E151="Parcial",Legenda!$C$5,0))+IF(F151="Sim",Legenda!$C$6,IF(F151="Parcial",Legenda!$C$7,0))+IF(G151="otool + Ghidra",Legenda!$C$8,IF(OR(G151="otool",G151="Ghidra",G151="Outro binário"),Legenda!$C$9,0))+MIN(Legenda!$C$11,MAX(0,J151-1)*Legenda!$C$10))),IF(H151="Parcial",MIN(Legenda!$C$13,MIN(10,IF(E151="Sim",Legenda!$C$4,IF(E151="Parcial",Legenda!$C$5,0))+IF(F151="Sim",Legenda!$C$6,IF(F151="Parcial",Legenda!$C$7,0))+IF(G151="otool + Ghidra",Legenda!$C$8,IF(OR(G151="otool",G151="Ghidra",G151="Outro binário"),Legenda!$C$9,0))+MIN(Legenda!$C$11,MAX(0,J151-1)*Legenda!$C$10))),MIN(10,IF(E151="Sim",Legenda!$C$4,IF(E151="Parcial",Legenda!$C$5,0))+IF(F151="Sim",Legenda!$C$6,IF(F151="Parcial",Legenda!$C$7,0))+IF(G151="otool + Ghidra",Legenda!$C$8,IF(OR(G151="otool",G151="Ghidra",G151="Outro binário"),Legenda!$C$9,0))+MIN(Legenda!$C$11,MAX(0,J151-1)*Legenda!$C$10)))),1)</f>
        <v/>
      </c>
      <c r="M151" s="70" t="inlineStr">
        <is>
          <t>A1-ghidra/Q-MB-dcl-callbacks.md §3</t>
        </is>
      </c>
      <c r="N151" s="70" t="inlineStr">
        <is>
          <t>—</t>
        </is>
      </c>
      <c r="O151" s="70" t="inlineStr">
        <is>
          <t>Necessário quando o clock é externo (S/PDIF/ADAT/Word Clock).</t>
        </is>
      </c>
      <c r="P151" s="70">
        <f>LEFT(A151,FIND(".",A151&amp;".")-1)</f>
        <v/>
      </c>
    </row>
    <row r="152">
      <c r="A152" s="70" t="inlineStr">
        <is>
          <t>A1-Q-DCL.9</t>
        </is>
      </c>
      <c r="B152" s="70" t="inlineStr">
        <is>
          <t>A1</t>
        </is>
      </c>
      <c r="C152" s="70" t="inlineStr">
        <is>
          <t>Aceitação do DCL clássico no 10.13.6 (M-B)</t>
        </is>
      </c>
      <c r="D152" s="70" t="inlineStr">
        <is>
          <t>Se createLocalIsochPort aceita a cadeia do clone (generateBufferMap) e se o pool KMA_LOMEM é alocado.</t>
        </is>
      </c>
      <c r="E152" s="70" t="inlineStr">
        <is>
          <t>Não</t>
        </is>
      </c>
      <c r="F152" s="70" t="inlineStr">
        <is>
          <t>Não</t>
        </is>
      </c>
      <c r="G152" s="70" t="inlineStr">
        <is>
          <t>Nenhuma (não executado)</t>
        </is>
      </c>
      <c r="H152" s="70" t="inlineStr">
        <is>
          <t>Sim</t>
        </is>
      </c>
      <c r="I152" s="70" t="inlineStr">
        <is>
          <t>Q-P1P2 §2-§3; kext M-B parte 1 só validado com kextutil -t -n em /tmp</t>
        </is>
      </c>
      <c r="J152" s="70">
        <f>IF(TRIM(I152)="",0,LEN(I152)-LEN(SUBSTITUTE(I152,";",""))+1)</f>
        <v/>
      </c>
      <c r="K152" s="70" t="inlineStr">
        <is>
          <t>Aberto / não resolvido</t>
        </is>
      </c>
      <c r="L152" s="70">
        <f>ROUND(IF(H152="Sim",MIN(Legenda!$C$12,MIN(10,IF(E152="Sim",Legenda!$C$4,IF(E152="Parcial",Legenda!$C$5,0))+IF(F152="Sim",Legenda!$C$6,IF(F152="Parcial",Legenda!$C$7,0))+IF(G152="otool + Ghidra",Legenda!$C$8,IF(OR(G152="otool",G152="Ghidra",G152="Outro binário"),Legenda!$C$9,0))+MIN(Legenda!$C$11,MAX(0,J152-1)*Legenda!$C$10))),IF(H152="Parcial",MIN(Legenda!$C$13,MIN(10,IF(E152="Sim",Legenda!$C$4,IF(E152="Parcial",Legenda!$C$5,0))+IF(F152="Sim",Legenda!$C$6,IF(F152="Parcial",Legenda!$C$7,0))+IF(G152="otool + Ghidra",Legenda!$C$8,IF(OR(G152="otool",G152="Ghidra",G152="Outro binário"),Legenda!$C$9,0))+MIN(Legenda!$C$11,MAX(0,J152-1)*Legenda!$C$10))),MIN(10,IF(E152="Sim",Legenda!$C$4,IF(E152="Parcial",Legenda!$C$5,0))+IF(F152="Sim",Legenda!$C$6,IF(F152="Parcial",Legenda!$C$7,0))+IF(G152="otool + Ghidra",Legenda!$C$8,IF(OR(G152="otool",G152="Ghidra",G152="Outro binário"),Legenda!$C$9,0))+MIN(Legenda!$C$11,MAX(0,J152-1)*Legenda!$C$10)))),1)</f>
        <v/>
      </c>
      <c r="M152" s="70" t="inlineStr">
        <is>
          <t>Q-P1P2; BUILD-PLAN §0</t>
        </is>
      </c>
      <c r="N152" s="70" t="inlineStr">
        <is>
          <t>—</t>
        </is>
      </c>
      <c r="O152" s="70" t="inlineStr">
        <is>
          <t>Regra do avião: só no teste integrado final. Pendência real do D2-2.</t>
        </is>
      </c>
      <c r="P152" s="70">
        <f>LEFT(A152,FIND(".",A152&amp;".")-1)</f>
        <v/>
      </c>
    </row>
    <row r="153">
      <c r="A153" s="70" t="inlineStr">
        <is>
          <t>A1-Q1.5</t>
        </is>
      </c>
      <c r="B153" s="70" t="inlineStr">
        <is>
          <t>A1</t>
        </is>
      </c>
      <c r="C153" s="70" t="inlineStr">
        <is>
          <t>Callback RX (InputDCLCallbackCopyPacketGroupToSamples @0x26e3e)</t>
        </is>
      </c>
      <c r="D153" s="70" t="inlineStr">
        <is>
          <t>Recuperação de segmentos perdidos, tabela de SYT (2048), marcador de consumido quad1=0x80, payload em pkt+12 para o anel de bytes, ResyncInputBuffer, MIDI nos pacotes.</t>
        </is>
      </c>
      <c r="E153" s="70" t="inlineStr">
        <is>
          <t>Sim</t>
        </is>
      </c>
      <c r="F153" s="70" t="inlineStr">
        <is>
          <t>Não</t>
        </is>
      </c>
      <c r="G153" s="70" t="inlineStr">
        <is>
          <t>otool + Ghidra</t>
        </is>
      </c>
      <c r="H153" s="70" t="inlineStr">
        <is>
          <t>Não</t>
        </is>
      </c>
      <c r="I153" s="70" t="inlineStr">
        <is>
          <t>ghidra-exports/decomp/q-mb-dcl-callbacks.c l.1246-1370; l.434-478</t>
        </is>
      </c>
      <c r="J153" s="70">
        <f>IF(TRIM(I153)="",0,LEN(I153)-LEN(SUBSTITUTE(I153,";",""))+1)</f>
        <v/>
      </c>
      <c r="K153" s="70" t="inlineStr">
        <is>
          <t>Consistente</t>
        </is>
      </c>
      <c r="L153" s="70">
        <f>ROUND(IF(H153="Sim",MIN(Legenda!$C$12,MIN(10,IF(E153="Sim",Legenda!$C$4,IF(E153="Parcial",Legenda!$C$5,0))+IF(F153="Sim",Legenda!$C$6,IF(F153="Parcial",Legenda!$C$7,0))+IF(G153="otool + Ghidra",Legenda!$C$8,IF(OR(G153="otool",G153="Ghidra",G153="Outro binário"),Legenda!$C$9,0))+MIN(Legenda!$C$11,MAX(0,J153-1)*Legenda!$C$10))),IF(H153="Parcial",MIN(Legenda!$C$13,MIN(10,IF(E153="Sim",Legenda!$C$4,IF(E153="Parcial",Legenda!$C$5,0))+IF(F153="Sim",Legenda!$C$6,IF(F153="Parcial",Legenda!$C$7,0))+IF(G153="otool + Ghidra",Legenda!$C$8,IF(OR(G153="otool",G153="Ghidra",G153="Outro binário"),Legenda!$C$9,0))+MIN(Legenda!$C$11,MAX(0,J153-1)*Legenda!$C$10))),MIN(10,IF(E153="Sim",Legenda!$C$4,IF(E153="Parcial",Legenda!$C$5,0))+IF(F153="Sim",Legenda!$C$6,IF(F153="Parcial",Legenda!$C$7,0))+IF(G153="otool + Ghidra",Legenda!$C$8,IF(OR(G153="otool",G153="Ghidra",G153="Outro binário"),Legenda!$C$9,0))+MIN(Legenda!$C$11,MAX(0,J153-1)*Legenda!$C$10)))),1)</f>
        <v/>
      </c>
      <c r="M153" s="70" t="inlineStr">
        <is>
          <t>A1-ghidra/Q-MB-dcl-callbacks.md §5</t>
        </is>
      </c>
      <c r="N153" s="70" t="inlineStr">
        <is>
          <t>—</t>
        </is>
      </c>
      <c r="O153" s="70" t="inlineStr">
        <is>
          <t>O callback lê os pacotes do pool 4·seg..4·seg+3 (defasagem de 1 pacote em relação ao segmento).</t>
        </is>
      </c>
      <c r="P153" s="70">
        <f>LEFT(A153,FIND(".",A153&amp;".")-1)</f>
        <v/>
      </c>
    </row>
    <row r="154">
      <c r="A154" s="70" t="inlineStr">
        <is>
          <t>A1-Q17.3</t>
        </is>
      </c>
      <c r="B154" s="70" t="inlineStr">
        <is>
          <t>A1</t>
        </is>
      </c>
      <c r="C154" s="70" t="inlineStr">
        <is>
          <t>Pool ↔ cadeia DCL defasados de 1 pacote</t>
        </is>
      </c>
      <c r="D154" s="70" t="inlineStr">
        <is>
          <t>SetPacketSize cria o iterador com início 1: o DCL k recebe o pacote (k+1) mod N; InitGroupCIPs escreve o cabeçalho 0 no pacote 0 do grupo; SetValidPackets mapeia o 1º pacote válido para o índice 0.</t>
        </is>
      </c>
      <c r="E154" s="70" t="inlineStr">
        <is>
          <t>Sim</t>
        </is>
      </c>
      <c r="F154" s="70" t="inlineStr">
        <is>
          <t>Não</t>
        </is>
      </c>
      <c r="G154" s="70" t="inlineStr">
        <is>
          <t>otool + Ghidra</t>
        </is>
      </c>
      <c r="H154" s="70" t="inlineStr">
        <is>
          <t>Parcial</t>
        </is>
      </c>
      <c r="I154" s="70" t="inlineStr">
        <is>
          <t>ghidra-exports/decomp/q-mb-dcl-callbacks.c l.258-377 e apêndice (CommonInit @0x11484); l.113-190</t>
        </is>
      </c>
      <c r="J154" s="70">
        <f>IF(TRIM(I154)="",0,LEN(I154)-LEN(SUBSTITUTE(I154,";",""))+1)</f>
        <v/>
      </c>
      <c r="K154" s="70" t="inlineStr">
        <is>
          <t>Consistente</t>
        </is>
      </c>
      <c r="L154" s="70">
        <f>ROUND(IF(H154="Sim",MIN(Legenda!$C$12,MIN(10,IF(E154="Sim",Legenda!$C$4,IF(E154="Parcial",Legenda!$C$5,0))+IF(F154="Sim",Legenda!$C$6,IF(F154="Parcial",Legenda!$C$7,0))+IF(G154="otool + Ghidra",Legenda!$C$8,IF(OR(G154="otool",G154="Ghidra",G154="Outro binário"),Legenda!$C$9,0))+MIN(Legenda!$C$11,MAX(0,J154-1)*Legenda!$C$10))),IF(H154="Parcial",MIN(Legenda!$C$13,MIN(10,IF(E154="Sim",Legenda!$C$4,IF(E154="Parcial",Legenda!$C$5,0))+IF(F154="Sim",Legenda!$C$6,IF(F154="Parcial",Legenda!$C$7,0))+IF(G154="otool + Ghidra",Legenda!$C$8,IF(OR(G154="otool",G154="Ghidra",G154="Outro binário"),Legenda!$C$9,0))+MIN(Legenda!$C$11,MAX(0,J154-1)*Legenda!$C$10))),MIN(10,IF(E154="Sim",Legenda!$C$4,IF(E154="Parcial",Legenda!$C$5,0))+IF(F154="Sim",Legenda!$C$6,IF(F154="Parcial",Legenda!$C$7,0))+IF(G154="otool + Ghidra",Legenda!$C$8,IF(OR(G154="otool",G154="Ghidra",G154="Outro binário"),Legenda!$C$9,0))+MIN(Legenda!$C$11,MAX(0,J154-1)*Legenda!$C$10)))),1)</f>
        <v/>
      </c>
      <c r="M154" s="70" t="inlineStr">
        <is>
          <t>A1-ghidra/Q-MB-dcl-callbacks.md §4</t>
        </is>
      </c>
      <c r="N154" s="70" t="inlineStr">
        <is>
          <t>—</t>
        </is>
      </c>
      <c r="O154" s="70" t="inlineStr">
        <is>
          <t>Intenção do mapeamento do 1º pacote válido → índice 0 não verificada; espelhado.</t>
        </is>
      </c>
      <c r="P154" s="70">
        <f>LEFT(A154,FIND(".",A154&amp;".")-1)</f>
        <v/>
      </c>
    </row>
    <row r="155">
      <c r="A155" s="70" t="inlineStr">
        <is>
          <t>A1-Q17.4</t>
        </is>
      </c>
      <c r="B155" s="70" t="inlineStr">
        <is>
          <t>A1</t>
        </is>
      </c>
      <c r="C155" s="70" t="inlineStr">
        <is>
          <t>FWTPacketIndex e TRingBuffer</t>
        </is>
      </c>
      <c r="D155" s="70" t="inlineStr">
        <is>
          <t>Estrutura da tabela de pacotes ativos por grupo (offset + lista de count/4 entradas) e do anel de bytes com contadores de volta.</t>
        </is>
      </c>
      <c r="E155" s="70" t="inlineStr">
        <is>
          <t>Sim</t>
        </is>
      </c>
      <c r="F155" s="70" t="inlineStr">
        <is>
          <t>Não</t>
        </is>
      </c>
      <c r="G155" s="70" t="inlineStr">
        <is>
          <t>otool + Ghidra</t>
        </is>
      </c>
      <c r="H155" s="70" t="inlineStr">
        <is>
          <t>Não</t>
        </is>
      </c>
      <c r="I155" s="70" t="inlineStr">
        <is>
          <t>ghidra-exports/decomp/q-mb-dcl-callbacks.c apêndice (0x7b6a-0x7cc4, 0x105f2, 0x10504, 0x1055e)</t>
        </is>
      </c>
      <c r="J155" s="70">
        <f>IF(TRIM(I155)="",0,LEN(I155)-LEN(SUBSTITUTE(I155,";",""))+1)</f>
        <v/>
      </c>
      <c r="K155" s="70" t="inlineStr">
        <is>
          <t>Consistente</t>
        </is>
      </c>
      <c r="L155" s="70">
        <f>ROUND(IF(H155="Sim",MIN(Legenda!$C$12,MIN(10,IF(E155="Sim",Legenda!$C$4,IF(E155="Parcial",Legenda!$C$5,0))+IF(F155="Sim",Legenda!$C$6,IF(F155="Parcial",Legenda!$C$7,0))+IF(G155="otool + Ghidra",Legenda!$C$8,IF(OR(G155="otool",G155="Ghidra",G155="Outro binário"),Legenda!$C$9,0))+MIN(Legenda!$C$11,MAX(0,J155-1)*Legenda!$C$10))),IF(H155="Parcial",MIN(Legenda!$C$13,MIN(10,IF(E155="Sim",Legenda!$C$4,IF(E155="Parcial",Legenda!$C$5,0))+IF(F155="Sim",Legenda!$C$6,IF(F155="Parcial",Legenda!$C$7,0))+IF(G155="otool + Ghidra",Legenda!$C$8,IF(OR(G155="otool",G155="Ghidra",G155="Outro binário"),Legenda!$C$9,0))+MIN(Legenda!$C$11,MAX(0,J155-1)*Legenda!$C$10))),MIN(10,IF(E155="Sim",Legenda!$C$4,IF(E155="Parcial",Legenda!$C$5,0))+IF(F155="Sim",Legenda!$C$6,IF(F155="Parcial",Legenda!$C$7,0))+IF(G155="otool + Ghidra",Legenda!$C$8,IF(OR(G155="otool",G155="Ghidra",G155="Outro binário"),Legenda!$C$9,0))+MIN(Legenda!$C$11,MAX(0,J155-1)*Legenda!$C$10)))),1)</f>
        <v/>
      </c>
      <c r="M155" s="70" t="inlineStr">
        <is>
          <t>A1-ghidra/Q-MB-dcl-callbacks.md §6</t>
        </is>
      </c>
      <c r="N155" s="70" t="inlineStr">
        <is>
          <t>—</t>
        </is>
      </c>
      <c r="O155" s="70" t="inlineStr">
        <is>
          <t>MarkGroupReadForInput e SyncCurrentInputPacketIndex não têm chamadores.</t>
        </is>
      </c>
      <c r="P155" s="70">
        <f>LEFT(A155,FIND(".",A155&amp;".")-1)</f>
        <v/>
      </c>
    </row>
    <row r="156">
      <c r="A156" s="70" t="inlineStr">
        <is>
          <t>A1-Q3a.5</t>
        </is>
      </c>
      <c r="B156" s="70" t="inlineStr">
        <is>
          <t>A1</t>
        </is>
      </c>
      <c r="C156" s="70" t="inlineStr">
        <is>
          <t>Início dos canais isócronos (R1) — Q-START</t>
        </is>
      </c>
      <c r="D156" s="70" t="inlineStr">
        <is>
          <t>vt[0x120]=Connect (só canal/portas); vt[0x138]=Start -&gt; FWIsochChannel::start. StartAudio-&gt;StartPCMAudio ativa RX e depois TX; TX Start preenche 4 bancos antes.</t>
        </is>
      </c>
      <c r="E156" s="70" t="inlineStr">
        <is>
          <t>Sim</t>
        </is>
      </c>
      <c r="F156" s="70" t="inlineStr">
        <is>
          <t>Não</t>
        </is>
      </c>
      <c r="G156" s="70" t="inlineStr">
        <is>
          <t>otool + Ghidra</t>
        </is>
      </c>
      <c r="H156" s="70" t="inlineStr">
        <is>
          <t>Parcial</t>
        </is>
      </c>
      <c r="I156" s="70" t="inlineStr">
        <is>
          <t>Ghidra FWEngine2__ConnectAudioMIDIChannels.c; FWEngine2__StartAudio.c (vt[0xd08]/[0xd10])</t>
        </is>
      </c>
      <c r="J156" s="70">
        <f>IF(TRIM(I156)="",0,LEN(I156)-LEN(SUBSTITUTE(I156,";",""))+1)</f>
        <v/>
      </c>
      <c r="K156" s="70" t="inlineStr">
        <is>
          <t>Corrigido 2026-10-15</t>
        </is>
      </c>
      <c r="L156" s="70">
        <f>ROUND(IF(H156="Sim",MIN(Legenda!$C$12,MIN(10,IF(E156="Sim",Legenda!$C$4,IF(E156="Parcial",Legenda!$C$5,0))+IF(F156="Sim",Legenda!$C$6,IF(F156="Parcial",Legenda!$C$7,0))+IF(G156="otool + Ghidra",Legenda!$C$8,IF(OR(G156="otool",G156="Ghidra",G156="Outro binário"),Legenda!$C$9,0))+MIN(Legenda!$C$11,MAX(0,J156-1)*Legenda!$C$10))),IF(H156="Parcial",MIN(Legenda!$C$13,MIN(10,IF(E156="Sim",Legenda!$C$4,IF(E156="Parcial",Legenda!$C$5,0))+IF(F156="Sim",Legenda!$C$6,IF(F156="Parcial",Legenda!$C$7,0))+IF(G156="otool + Ghidra",Legenda!$C$8,IF(OR(G156="otool",G156="Ghidra",G156="Outro binário"),Legenda!$C$9,0))+MIN(Legenda!$C$11,MAX(0,J156-1)*Legenda!$C$10))),MIN(10,IF(E156="Sim",Legenda!$C$4,IF(E156="Parcial",Legenda!$C$5,0))+IF(F156="Sim",Legenda!$C$6,IF(F156="Parcial",Legenda!$C$7,0))+IF(G156="otool + Ghidra",Legenda!$C$8,IF(OR(G156="otool",G156="Ghidra",G156="Outro binário"),Legenda!$C$9,0))+MIN(Legenda!$C$11,MAX(0,J156-1)*Legenda!$C$10)))),1)</f>
        <v/>
      </c>
      <c r="M156" s="70" t="inlineStr">
        <is>
          <t>A1-ghidra/Q-START-channel-start-order.md; R43</t>
        </is>
      </c>
      <c r="N156" s="70" t="inlineStr">
        <is>
          <t>AUD-QMB-04</t>
        </is>
      </c>
      <c r="O156" s="70" t="inlineStr">
        <is>
          <t>Hipótese: StartIsochStreams. Verificar (Q-START) antes do M-C. [2026-10-15] Fechado (R43). Abertos: nomes dos slots externos de IOFWIsochChannel (0x148/0x168) e ordem em runtime dos vt[0xb50].</t>
        </is>
      </c>
      <c r="P156" s="70">
        <f>LEFT(A156,FIND(".",A156&amp;".")-1)</f>
        <v/>
      </c>
    </row>
    <row r="157">
      <c r="A157" s="70" t="inlineStr">
        <is>
          <t>A1-Q7.5</t>
        </is>
      </c>
      <c r="B157" s="70" t="inlineStr">
        <is>
          <t>A1</t>
        </is>
      </c>
      <c r="C157" s="70" t="inlineStr">
        <is>
          <t>FWMetaNub deriva de IOService</t>
        </is>
      </c>
      <c r="D157" s="70" t="inlineStr">
        <is>
          <t>O construtor chama IOService::IOService(OSMetaClass const*) e a MetaClass tem tamanho 0x188; o provider é convertido para IOFireWireNub. Corrige 'IOFireWireUnit' (Q7, CLAUDE.md).</t>
        </is>
      </c>
      <c r="E157" s="70" t="inlineStr">
        <is>
          <t>Sim</t>
        </is>
      </c>
      <c r="F157" s="70" t="inlineStr">
        <is>
          <t>Parcial</t>
        </is>
      </c>
      <c r="G157" s="70" t="inlineStr">
        <is>
          <t>otool + Ghidra</t>
        </is>
      </c>
      <c r="H157" s="70" t="inlineStr">
        <is>
          <t>Não</t>
        </is>
      </c>
      <c r="I157" s="70" t="inlineStr">
        <is>
          <t>asm 0x1d1b4..0x1d1c3, 0x1d318..0x1d33a, 0x1cfa5..0x1cfc6; ioreg no build PC</t>
        </is>
      </c>
      <c r="J157" s="70">
        <f>IF(TRIM(I157)="",0,LEN(I157)-LEN(SUBSTITUTE(I157,";",""))+1)</f>
        <v/>
      </c>
      <c r="K157" s="70" t="inlineStr">
        <is>
          <t>Consistente</t>
        </is>
      </c>
      <c r="L157" s="70">
        <f>ROUND(IF(H157="Sim",MIN(Legenda!$C$12,MIN(10,IF(E157="Sim",Legenda!$C$4,IF(E157="Parcial",Legenda!$C$5,0))+IF(F157="Sim",Legenda!$C$6,IF(F157="Parcial",Legenda!$C$7,0))+IF(G157="otool + Ghidra",Legenda!$C$8,IF(OR(G157="otool",G157="Ghidra",G157="Outro binário"),Legenda!$C$9,0))+MIN(Legenda!$C$11,MAX(0,J157-1)*Legenda!$C$10))),IF(H157="Parcial",MIN(Legenda!$C$13,MIN(10,IF(E157="Sim",Legenda!$C$4,IF(E157="Parcial",Legenda!$C$5,0))+IF(F157="Sim",Legenda!$C$6,IF(F157="Parcial",Legenda!$C$7,0))+IF(G157="otool + Ghidra",Legenda!$C$8,IF(OR(G157="otool",G157="Ghidra",G157="Outro binário"),Legenda!$C$9,0))+MIN(Legenda!$C$11,MAX(0,J157-1)*Legenda!$C$10))),MIN(10,IF(E157="Sim",Legenda!$C$4,IF(E157="Parcial",Legenda!$C$5,0))+IF(F157="Sim",Legenda!$C$6,IF(F157="Parcial",Legenda!$C$7,0))+IF(G157="otool + Ghidra",Legenda!$C$8,IF(OR(G157="otool",G157="Ghidra",G157="Outro binário"),Legenda!$C$9,0))+MIN(Legenda!$C$11,MAX(0,J157-1)*Legenda!$C$10)))),1)</f>
        <v/>
      </c>
      <c r="M157" s="70" t="inlineStr">
        <is>
          <t>Q7 (Correction 2026-10-14); R40</t>
        </is>
      </c>
      <c r="N157" s="70" t="inlineStr">
        <is>
          <t>AUD-QMB-05</t>
        </is>
      </c>
      <c r="O157" s="70" t="inlineStr">
        <is>
          <t>Live: o clone com superclasse IOService casou e rodou no 10.13.6.</t>
        </is>
      </c>
      <c r="P157" s="70">
        <f>LEFT(A157,FIND(".",A157&amp;".")-1)</f>
        <v/>
      </c>
    </row>
    <row r="158">
      <c r="A158" s="70" t="inlineStr">
        <is>
          <t>A1-Q7.6</t>
        </is>
      </c>
      <c r="B158" s="70" t="inlineStr">
        <is>
          <t>A1</t>
        </is>
      </c>
      <c r="C158" s="70" t="inlineStr">
        <is>
          <t>message() do FWMetaNub</t>
        </is>
      </c>
      <c r="D158" s="70" t="inlineStr">
        <is>
          <t>message(0xE0000020) copia [+0xf1]→[+0xf2]; depois messageClients(type,0,0) e IOService::message. Corrige o 'hook global de log'.</t>
        </is>
      </c>
      <c r="E158" s="70" t="inlineStr">
        <is>
          <t>Sim</t>
        </is>
      </c>
      <c r="F158" s="70" t="inlineStr">
        <is>
          <t>Não</t>
        </is>
      </c>
      <c r="G158" s="70" t="inlineStr">
        <is>
          <t>otool + Ghidra</t>
        </is>
      </c>
      <c r="H158" s="70" t="inlineStr">
        <is>
          <t>Não</t>
        </is>
      </c>
      <c r="I158" s="70" t="inlineStr">
        <is>
          <t>Ghidra FWMetaNub__message.c</t>
        </is>
      </c>
      <c r="J158" s="70">
        <f>IF(TRIM(I158)="",0,LEN(I158)-LEN(SUBSTITUTE(I158,";",""))+1)</f>
        <v/>
      </c>
      <c r="K158" s="70" t="inlineStr">
        <is>
          <t>Consistente</t>
        </is>
      </c>
      <c r="L158" s="70">
        <f>ROUND(IF(H158="Sim",MIN(Legenda!$C$12,MIN(10,IF(E158="Sim",Legenda!$C$4,IF(E158="Parcial",Legenda!$C$5,0))+IF(F158="Sim",Legenda!$C$6,IF(F158="Parcial",Legenda!$C$7,0))+IF(G158="otool + Ghidra",Legenda!$C$8,IF(OR(G158="otool",G158="Ghidra",G158="Outro binário"),Legenda!$C$9,0))+MIN(Legenda!$C$11,MAX(0,J158-1)*Legenda!$C$10))),IF(H158="Parcial",MIN(Legenda!$C$13,MIN(10,IF(E158="Sim",Legenda!$C$4,IF(E158="Parcial",Legenda!$C$5,0))+IF(F158="Sim",Legenda!$C$6,IF(F158="Parcial",Legenda!$C$7,0))+IF(G158="otool + Ghidra",Legenda!$C$8,IF(OR(G158="otool",G158="Ghidra",G158="Outro binário"),Legenda!$C$9,0))+MIN(Legenda!$C$11,MAX(0,J158-1)*Legenda!$C$10))),MIN(10,IF(E158="Sim",Legenda!$C$4,IF(E158="Parcial",Legenda!$C$5,0))+IF(F158="Sim",Legenda!$C$6,IF(F158="Parcial",Legenda!$C$7,0))+IF(G158="otool + Ghidra",Legenda!$C$8,IF(OR(G158="otool",G158="Ghidra",G158="Outro binário"),Legenda!$C$9,0))+MIN(Legenda!$C$11,MAX(0,J158-1)*Legenda!$C$10)))),1)</f>
        <v/>
      </c>
      <c r="M158" s="70" t="inlineStr">
        <is>
          <t>Q7 (Correction 2026-10-15)</t>
        </is>
      </c>
      <c r="N158" s="70" t="inlineStr">
        <is>
          <t>—</t>
        </is>
      </c>
      <c r="O158" s="70" t="inlineStr">
        <is>
          <t>—</t>
        </is>
      </c>
      <c r="P158" s="70">
        <f>LEFT(A158,FIND(".",A158&amp;".")-1)</f>
        <v/>
      </c>
    </row>
    <row r="159">
      <c r="A159" s="70" t="inlineStr">
        <is>
          <t>A1-Q7.7</t>
        </is>
      </c>
      <c r="B159" s="70" t="inlineStr">
        <is>
          <t>A1</t>
        </is>
      </c>
      <c r="C159" s="70" t="inlineStr">
        <is>
          <t>Linha do tempo bootloader→runtime (ao vivo)</t>
        </is>
      </c>
      <c r="D159" s="70" t="inlineStr">
        <is>
          <t>Ao ligar: dispositivo bootloader (0x10070, GUID …041…) ~3 s antes do runtime (0x10071, GUID …040…); o bootloader sobe sozinho; Halt abre janela de ~3 s.</t>
        </is>
      </c>
      <c r="E159" s="70" t="inlineStr">
        <is>
          <t>Não</t>
        </is>
      </c>
      <c r="F159" s="70" t="inlineStr">
        <is>
          <t>Sim</t>
        </is>
      </c>
      <c r="G159" s="70" t="inlineStr">
        <is>
          <t>Log do kernel no build PC</t>
        </is>
      </c>
      <c r="H159" s="70" t="inlineStr">
        <is>
          <t>Não</t>
        </is>
      </c>
      <c r="I159" s="70" t="inlineStr">
        <is>
          <t>build-pc-runs/2026-10-15-M-A-M-FW-install.md</t>
        </is>
      </c>
      <c r="J159" s="70">
        <f>IF(TRIM(I159)="",0,LEN(I159)-LEN(SUBSTITUTE(I159,";",""))+1)</f>
        <v/>
      </c>
      <c r="K159" s="70" t="inlineStr">
        <is>
          <t>Consistente</t>
        </is>
      </c>
      <c r="L159" s="70">
        <f>ROUND(IF(H159="Sim",MIN(Legenda!$C$12,MIN(10,IF(E159="Sim",Legenda!$C$4,IF(E159="Parcial",Legenda!$C$5,0))+IF(F159="Sim",Legenda!$C$6,IF(F159="Parcial",Legenda!$C$7,0))+IF(G159="otool + Ghidra",Legenda!$C$8,IF(OR(G159="otool",G159="Ghidra",G159="Outro binário"),Legenda!$C$9,0))+MIN(Legenda!$C$11,MAX(0,J159-1)*Legenda!$C$10))),IF(H159="Parcial",MIN(Legenda!$C$13,MIN(10,IF(E159="Sim",Legenda!$C$4,IF(E159="Parcial",Legenda!$C$5,0))+IF(F159="Sim",Legenda!$C$6,IF(F159="Parcial",Legenda!$C$7,0))+IF(G159="otool + Ghidra",Legenda!$C$8,IF(OR(G159="otool",G159="Ghidra",G159="Outro binário"),Legenda!$C$9,0))+MIN(Legenda!$C$11,MAX(0,J159-1)*Legenda!$C$10))),MIN(10,IF(E159="Sim",Legenda!$C$4,IF(E159="Parcial",Legenda!$C$5,0))+IF(F159="Sim",Legenda!$C$6,IF(F159="Parcial",Legenda!$C$7,0))+IF(G159="otool + Ghidra",Legenda!$C$8,IF(OR(G159="otool",G159="Ghidra",G159="Outro binário"),Legenda!$C$9,0))+MIN(Legenda!$C$11,MAX(0,J159-1)*Legenda!$C$10)))),1)</f>
        <v/>
      </c>
      <c r="M159" s="70" t="inlineStr">
        <is>
          <t>R40</t>
        </is>
      </c>
      <c r="N159" s="70" t="inlineStr">
        <is>
          <t>—</t>
        </is>
      </c>
      <c r="O159" s="70" t="inlineStr">
        <is>
          <t>Janela de ~3 s: exige reação em milissegundos de quem fosse gravar flash (corte de escopo).</t>
        </is>
      </c>
      <c r="P159" s="70">
        <f>LEFT(A159,FIND(".",A159&amp;".")-1)</f>
        <v/>
      </c>
    </row>
    <row r="160">
      <c r="A160" s="70" t="inlineStr">
        <is>
          <t>A1-Q7.8</t>
        </is>
      </c>
      <c r="B160" s="70" t="inlineStr">
        <is>
          <t>A1</t>
        </is>
      </c>
      <c r="C160" s="70" t="inlineStr">
        <is>
          <t>Go vs auto-boot</t>
        </is>
      </c>
      <c r="D160" s="70" t="inlineStr">
        <is>
          <t>A escrita Go (0x01110000) retorna sucesso, mas o auto-boot do bootloader (~3 s) torna indistinguível o efeito.</t>
        </is>
      </c>
      <c r="E160" s="70" t="inlineStr">
        <is>
          <t>Não</t>
        </is>
      </c>
      <c r="F160" s="70" t="inlineStr">
        <is>
          <t>Parcial</t>
        </is>
      </c>
      <c r="G160" s="70" t="inlineStr">
        <is>
          <t>Log do kernel no build PC</t>
        </is>
      </c>
      <c r="H160" s="70" t="inlineStr">
        <is>
          <t>Sim</t>
        </is>
      </c>
      <c r="I160" s="70" t="inlineStr">
        <is>
          <t>build-pc-runs/2026-10-15-M-A-M-FW-install.md Run 3</t>
        </is>
      </c>
      <c r="J160" s="70">
        <f>IF(TRIM(I160)="",0,LEN(I160)-LEN(SUBSTITUTE(I160,";",""))+1)</f>
        <v/>
      </c>
      <c r="K160" s="70" t="inlineStr">
        <is>
          <t>Aberto / não resolvido</t>
        </is>
      </c>
      <c r="L160" s="70">
        <f>ROUND(IF(H160="Sim",MIN(Legenda!$C$12,MIN(10,IF(E160="Sim",Legenda!$C$4,IF(E160="Parcial",Legenda!$C$5,0))+IF(F160="Sim",Legenda!$C$6,IF(F160="Parcial",Legenda!$C$7,0))+IF(G160="otool + Ghidra",Legenda!$C$8,IF(OR(G160="otool",G160="Ghidra",G160="Outro binário"),Legenda!$C$9,0))+MIN(Legenda!$C$11,MAX(0,J160-1)*Legenda!$C$10))),IF(H160="Parcial",MIN(Legenda!$C$13,MIN(10,IF(E160="Sim",Legenda!$C$4,IF(E160="Parcial",Legenda!$C$5,0))+IF(F160="Sim",Legenda!$C$6,IF(F160="Parcial",Legenda!$C$7,0))+IF(G160="otool + Ghidra",Legenda!$C$8,IF(OR(G160="otool",G160="Ghidra",G160="Outro binário"),Legenda!$C$9,0))+MIN(Legenda!$C$11,MAX(0,J160-1)*Legenda!$C$10))),MIN(10,IF(E160="Sim",Legenda!$C$4,IF(E160="Parcial",Legenda!$C$5,0))+IF(F160="Sim",Legenda!$C$6,IF(F160="Parcial",Legenda!$C$7,0))+IF(G160="otool + Ghidra",Legenda!$C$8,IF(OR(G160="otool",G160="Ghidra",G160="Outro binário"),Legenda!$C$9,0))+MIN(Legenda!$C$11,MAX(0,J160-1)*Legenda!$C$10)))),1)</f>
        <v/>
      </c>
      <c r="M160" s="70" t="inlineStr">
        <is>
          <t>R40</t>
        </is>
      </c>
      <c r="N160" s="70" t="inlineStr">
        <is>
          <t>—</t>
        </is>
      </c>
      <c r="O160" s="70" t="inlineStr">
        <is>
          <t>Só relevante se for preciso garantir o Go; não bloqueia (o auto-boot cobre).</t>
        </is>
      </c>
      <c r="P160" s="70">
        <f>LEFT(A160,FIND(".",A160&amp;".")-1)</f>
        <v/>
      </c>
    </row>
    <row r="161">
      <c r="A161" s="70" t="inlineStr">
        <is>
          <t>A1-Q-SDK.6</t>
        </is>
      </c>
      <c r="B161" s="70" t="inlineStr">
        <is>
          <t>A1</t>
        </is>
      </c>
      <c r="C161" s="70" t="inlineStr">
        <is>
          <t>Rodada 2 no 10.13.6 (clone)</t>
        </is>
      </c>
      <c r="D161" s="70" t="inlineStr">
        <is>
          <t>Rodada 1 rejeitada em silêncio, MAFirmwareStart → rodada 2 → FW1814Device (casca) iniciou sem pânico (≥ 6,5 min; também após instalar + reboot).</t>
        </is>
      </c>
      <c r="E161" s="70" t="inlineStr">
        <is>
          <t>Não</t>
        </is>
      </c>
      <c r="F161" s="70" t="inlineStr">
        <is>
          <t>Sim</t>
        </is>
      </c>
      <c r="G161" s="70" t="inlineStr">
        <is>
          <t>Log do kernel + ioreg no build PC</t>
        </is>
      </c>
      <c r="H161" s="70" t="inlineStr">
        <is>
          <t>Não</t>
        </is>
      </c>
      <c r="I161" s="70" t="inlineStr">
        <is>
          <t>build-pc-runs/2026-10-15-M-A-M-FW-install.md</t>
        </is>
      </c>
      <c r="J161" s="70">
        <f>IF(TRIM(I161)="",0,LEN(I161)-LEN(SUBSTITUTE(I161,";",""))+1)</f>
        <v/>
      </c>
      <c r="K161" s="70" t="inlineStr">
        <is>
          <t>Consistente</t>
        </is>
      </c>
      <c r="L161" s="70">
        <f>ROUND(IF(H161="Sim",MIN(Legenda!$C$12,MIN(10,IF(E161="Sim",Legenda!$C$4,IF(E161="Parcial",Legenda!$C$5,0))+IF(F161="Sim",Legenda!$C$6,IF(F161="Parcial",Legenda!$C$7,0))+IF(G161="otool + Ghidra",Legenda!$C$8,IF(OR(G161="otool",G161="Ghidra",G161="Outro binário"),Legenda!$C$9,0))+MIN(Legenda!$C$11,MAX(0,J161-1)*Legenda!$C$10))),IF(H161="Parcial",MIN(Legenda!$C$13,MIN(10,IF(E161="Sim",Legenda!$C$4,IF(E161="Parcial",Legenda!$C$5,0))+IF(F161="Sim",Legenda!$C$6,IF(F161="Parcial",Legenda!$C$7,0))+IF(G161="otool + Ghidra",Legenda!$C$8,IF(OR(G161="otool",G161="Ghidra",G161="Outro binário"),Legenda!$C$9,0))+MIN(Legenda!$C$11,MAX(0,J161-1)*Legenda!$C$10))),MIN(10,IF(E161="Sim",Legenda!$C$4,IF(E161="Parcial",Legenda!$C$5,0))+IF(F161="Sim",Legenda!$C$6,IF(F161="Parcial",Legenda!$C$7,0))+IF(G161="otool + Ghidra",Legenda!$C$8,IF(OR(G161="otool",G161="Ghidra",G161="Outro binário"),Legenda!$C$9,0))+MIN(Legenda!$C$11,MAX(0,J161-1)*Legenda!$C$10)))),1)</f>
        <v/>
      </c>
      <c r="M161" s="70" t="inlineStr">
        <is>
          <t>Q-SDK5 (Correction 2026-10-15); R40</t>
        </is>
      </c>
      <c r="N161" s="70" t="inlineStr">
        <is>
          <t>—</t>
        </is>
      </c>
      <c r="O161" s="70" t="inlineStr">
        <is>
          <t>Só a casca; engines/DCL/CMP/mixer ainda não rodaram no 10.13.6.</t>
        </is>
      </c>
      <c r="P161" s="70">
        <f>LEFT(A161,FIND(".",A161&amp;".")-1)</f>
        <v/>
      </c>
    </row>
    <row r="162">
      <c r="A162" s="70" t="inlineStr">
        <is>
          <t>A1-Q8.2</t>
        </is>
      </c>
      <c r="B162" s="70" t="inlineStr">
        <is>
          <t>A1</t>
        </is>
      </c>
      <c r="C162" s="70" t="inlineStr">
        <is>
          <t>Personalidades go-away do FW1814</t>
        </is>
      </c>
      <c r="D162" s="70" t="inlineStr">
        <is>
          <t>No 10.13.6 o FW1814 não publica IOFireWireAVCUnit/sub-unidade nem AppleFWAudio; as personalidades FW1814AppleGoAway1/12 nunca foram exercitadas.</t>
        </is>
      </c>
      <c r="E162" s="70" t="inlineStr">
        <is>
          <t>Não</t>
        </is>
      </c>
      <c r="F162" s="70" t="inlineStr">
        <is>
          <t>Sim</t>
        </is>
      </c>
      <c r="G162" s="70" t="inlineStr">
        <is>
          <t>ioreg no build PC</t>
        </is>
      </c>
      <c r="H162" s="70" t="inlineStr">
        <is>
          <t>Parcial</t>
        </is>
      </c>
      <c r="I162" s="70" t="inlineStr">
        <is>
          <t>build-pc-runs/2026-10-15-M-A-M-FW-install.md Run 2</t>
        </is>
      </c>
      <c r="J162" s="70">
        <f>IF(TRIM(I162)="",0,LEN(I162)-LEN(SUBSTITUTE(I162,";",""))+1)</f>
        <v/>
      </c>
      <c r="K162" s="70" t="inlineStr">
        <is>
          <t>Aberto / não resolvido</t>
        </is>
      </c>
      <c r="L162" s="70">
        <f>ROUND(IF(H162="Sim",MIN(Legenda!$C$12,MIN(10,IF(E162="Sim",Legenda!$C$4,IF(E162="Parcial",Legenda!$C$5,0))+IF(F162="Sim",Legenda!$C$6,IF(F162="Parcial",Legenda!$C$7,0))+IF(G162="otool + Ghidra",Legenda!$C$8,IF(OR(G162="otool",G162="Ghidra",G162="Outro binário"),Legenda!$C$9,0))+MIN(Legenda!$C$11,MAX(0,J162-1)*Legenda!$C$10))),IF(H162="Parcial",MIN(Legenda!$C$13,MIN(10,IF(E162="Sim",Legenda!$C$4,IF(E162="Parcial",Legenda!$C$5,0))+IF(F162="Sim",Legenda!$C$6,IF(F162="Parcial",Legenda!$C$7,0))+IF(G162="otool + Ghidra",Legenda!$C$8,IF(OR(G162="otool",G162="Ghidra",G162="Outro binário"),Legenda!$C$9,0))+MIN(Legenda!$C$11,MAX(0,J162-1)*Legenda!$C$10))),MIN(10,IF(E162="Sim",Legenda!$C$4,IF(E162="Parcial",Legenda!$C$5,0))+IF(F162="Sim",Legenda!$C$6,IF(F162="Parcial",Legenda!$C$7,0))+IF(G162="otool + Ghidra",Legenda!$C$8,IF(OR(G162="otool",G162="Ghidra",G162="Outro binário"),Legenda!$C$9,0))+MIN(Legenda!$C$11,MAX(0,J162-1)*Legenda!$C$10)))),1)</f>
        <v/>
      </c>
      <c r="M162" s="70" t="inlineStr">
        <is>
          <t>Q8 (Correction 2026-10-15)</t>
        </is>
      </c>
      <c r="N162" s="70" t="inlineStr">
        <is>
          <t>—</t>
        </is>
      </c>
      <c r="O162" s="70" t="inlineStr">
        <is>
          <t>Backlog #15 respondido em parte; confirmar no teste integrado se algum cliente AV/C aparece depois do isoch.</t>
        </is>
      </c>
      <c r="P162" s="70">
        <f>LEFT(A162,FIND(".",A162&amp;".")-1)</f>
        <v/>
      </c>
    </row>
    <row r="163">
      <c r="A163" s="70" t="inlineStr">
        <is>
          <t>BUILD-HW.1</t>
        </is>
      </c>
      <c r="B163" s="70" t="inlineStr">
        <is>
          <t>Build</t>
        </is>
      </c>
      <c r="C163" s="70" t="inlineStr">
        <is>
          <t>M-A + H.1 ao vivo (10.13.6)</t>
        </is>
      </c>
      <c r="D163" s="70" t="inlineStr">
        <is>
          <t>kext carrega/descarrega limpo; com a interface ligada: rodada 1 rejeitada, rodada 2 com MAFirmwareStart; instalação em /Library/Extensions + LaunchDaemon sobrevive a reboot sem comando manual.</t>
        </is>
      </c>
      <c r="E163" s="70" t="inlineStr">
        <is>
          <t>Não</t>
        </is>
      </c>
      <c r="F163" s="70" t="inlineStr">
        <is>
          <t>Sim</t>
        </is>
      </c>
      <c r="G163" s="70" t="inlineStr">
        <is>
          <t>Log do kernel, ioreg, launchctl no build PC</t>
        </is>
      </c>
      <c r="H163" s="70" t="inlineStr">
        <is>
          <t>Não</t>
        </is>
      </c>
      <c r="I163" s="70" t="inlineStr">
        <is>
          <t>build-pc-runs/2026-10-15-M-A-M-FW-install.md</t>
        </is>
      </c>
      <c r="J163" s="70">
        <f>IF(TRIM(I163)="",0,LEN(I163)-LEN(SUBSTITUTE(I163,";",""))+1)</f>
        <v/>
      </c>
      <c r="K163" s="70" t="inlineStr">
        <is>
          <t>Consistente</t>
        </is>
      </c>
      <c r="L163" s="70">
        <f>ROUND(IF(H163="Sim",MIN(Legenda!$C$12,MIN(10,IF(E163="Sim",Legenda!$C$4,IF(E163="Parcial",Legenda!$C$5,0))+IF(F163="Sim",Legenda!$C$6,IF(F163="Parcial",Legenda!$C$7,0))+IF(G163="otool + Ghidra",Legenda!$C$8,IF(OR(G163="otool",G163="Ghidra",G163="Outro binário"),Legenda!$C$9,0))+MIN(Legenda!$C$11,MAX(0,J163-1)*Legenda!$C$10))),IF(H163="Parcial",MIN(Legenda!$C$13,MIN(10,IF(E163="Sim",Legenda!$C$4,IF(E163="Parcial",Legenda!$C$5,0))+IF(F163="Sim",Legenda!$C$6,IF(F163="Parcial",Legenda!$C$7,0))+IF(G163="otool + Ghidra",Legenda!$C$8,IF(OR(G163="otool",G163="Ghidra",G163="Outro binário"),Legenda!$C$9,0))+MIN(Legenda!$C$11,MAX(0,J163-1)*Legenda!$C$10))),MIN(10,IF(E163="Sim",Legenda!$C$4,IF(E163="Parcial",Legenda!$C$5,0))+IF(F163="Sim",Legenda!$C$6,IF(F163="Parcial",Legenda!$C$7,0))+IF(G163="otool + Ghidra",Legenda!$C$8,IF(OR(G163="otool",G163="Ghidra",G163="Outro binário"),Legenda!$C$9,0))+MIN(Legenda!$C$11,MAX(0,J163-1)*Legenda!$C$10)))),1)</f>
        <v/>
      </c>
      <c r="M163" s="70" t="inlineStr">
        <is>
          <t>R40</t>
        </is>
      </c>
      <c r="N163" s="70" t="inlineStr">
        <is>
          <t>—</t>
        </is>
      </c>
      <c r="O163" s="70" t="inlineStr">
        <is>
          <t>Evidência dos critérios de aceite de M-A, M-FW (reduzido) e H.1.</t>
        </is>
      </c>
      <c r="P163" s="70">
        <f>LEFT(A163,FIND(".",A163&amp;".")-1)</f>
        <v/>
      </c>
    </row>
    <row r="164">
      <c r="A164" s="70" t="inlineStr">
        <is>
          <t>BUILD-HW.2</t>
        </is>
      </c>
      <c r="B164" s="70" t="inlineStr">
        <is>
          <t>Build</t>
        </is>
      </c>
      <c r="C164" s="70" t="inlineStr">
        <is>
          <t>MAFirmwareInfo ao vivo</t>
        </is>
      </c>
      <c r="D164" s="70" t="inlineStr">
        <is>
          <t>Bloco de 80 B lido no build PC bate com o layout do P3 (bridgeCo, protocolo 1, bootloader 0, data 20070713 080440, base 0x20080000, tamanho máx 0x00180000).</t>
        </is>
      </c>
      <c r="E164" s="70" t="inlineStr">
        <is>
          <t>Sim</t>
        </is>
      </c>
      <c r="F164" s="70" t="inlineStr">
        <is>
          <t>Sim</t>
        </is>
      </c>
      <c r="G164" s="70" t="inlineStr">
        <is>
          <t>Leitura do registro + comparação com Q-P3</t>
        </is>
      </c>
      <c r="H164" s="70" t="inlineStr">
        <is>
          <t>Não</t>
        </is>
      </c>
      <c r="I164" s="70" t="inlineStr">
        <is>
          <t>build-pc-runs/2026-10-15-M-A-M-FW-install.md; Q-P3 §3</t>
        </is>
      </c>
      <c r="J164" s="70">
        <f>IF(TRIM(I164)="",0,LEN(I164)-LEN(SUBSTITUTE(I164,";",""))+1)</f>
        <v/>
      </c>
      <c r="K164" s="70" t="inlineStr">
        <is>
          <t>Consistente</t>
        </is>
      </c>
      <c r="L164" s="70">
        <f>ROUND(IF(H164="Sim",MIN(Legenda!$C$12,MIN(10,IF(E164="Sim",Legenda!$C$4,IF(E164="Parcial",Legenda!$C$5,0))+IF(F164="Sim",Legenda!$C$6,IF(F164="Parcial",Legenda!$C$7,0))+IF(G164="otool + Ghidra",Legenda!$C$8,IF(OR(G164="otool",G164="Ghidra",G164="Outro binário"),Legenda!$C$9,0))+MIN(Legenda!$C$11,MAX(0,J164-1)*Legenda!$C$10))),IF(H164="Parcial",MIN(Legenda!$C$13,MIN(10,IF(E164="Sim",Legenda!$C$4,IF(E164="Parcial",Legenda!$C$5,0))+IF(F164="Sim",Legenda!$C$6,IF(F164="Parcial",Legenda!$C$7,0))+IF(G164="otool + Ghidra",Legenda!$C$8,IF(OR(G164="otool",G164="Ghidra",G164="Outro binário"),Legenda!$C$9,0))+MIN(Legenda!$C$11,MAX(0,J164-1)*Legenda!$C$10))),MIN(10,IF(E164="Sim",Legenda!$C$4,IF(E164="Parcial",Legenda!$C$5,0))+IF(F164="Sim",Legenda!$C$6,IF(F164="Parcial",Legenda!$C$7,0))+IF(G164="otool + Ghidra",Legenda!$C$8,IF(OR(G164="otool",G164="Ghidra",G164="Outro binário"),Legenda!$C$9,0))+MIN(Legenda!$C$11,MAX(0,J164-1)*Legenda!$C$10)))),1)</f>
        <v/>
      </c>
      <c r="M164" s="70" t="inlineStr">
        <is>
          <t>R37; R40</t>
        </is>
      </c>
      <c r="N164" s="70" t="inlineStr">
        <is>
          <t>—</t>
        </is>
      </c>
      <c r="O164" s="70" t="inlineStr">
        <is>
          <t>Segunda unidade (GUID diferente) confirma o layout.</t>
        </is>
      </c>
      <c r="P164" s="70">
        <f>LEFT(A164,FIND(".",A164&amp;".")-1)</f>
        <v/>
      </c>
    </row>
    <row r="165">
      <c r="A165" s="70" t="inlineStr">
        <is>
          <t>BUILD-SC.1</t>
        </is>
      </c>
      <c r="B165" s="70" t="inlineStr">
        <is>
          <t>Build</t>
        </is>
      </c>
      <c r="C165" s="70" t="inlineStr">
        <is>
          <t>Corte de escopo: sem gravação de flash</t>
        </is>
      </c>
      <c r="D165" s="70" t="inlineStr">
        <is>
          <t>O driver nunca grava o flash do dispositivo: H.2 e H.5 cancelados; M-FW reduzido; binário sem strings FirmUp/Download.</t>
        </is>
      </c>
      <c r="E165" s="70" t="inlineStr">
        <is>
          <t>Não</t>
        </is>
      </c>
      <c r="F165" s="70" t="inlineStr">
        <is>
          <t>Não</t>
        </is>
      </c>
      <c r="G165" s="70" t="inlineStr">
        <is>
          <t>strings no binário</t>
        </is>
      </c>
      <c r="H165" s="70" t="inlineStr">
        <is>
          <t>Não</t>
        </is>
      </c>
      <c r="I165" s="70" t="inlineStr">
        <is>
          <t>Decisão do usuário 2026-10-15; R42</t>
        </is>
      </c>
      <c r="J165" s="70">
        <f>IF(TRIM(I165)="",0,LEN(I165)-LEN(SUBSTITUTE(I165,";",""))+1)</f>
        <v/>
      </c>
      <c r="K165" s="70" t="inlineStr">
        <is>
          <t>Consistente</t>
        </is>
      </c>
      <c r="L165" s="70">
        <f>ROUND(IF(H165="Sim",MIN(Legenda!$C$12,MIN(10,IF(E165="Sim",Legenda!$C$4,IF(E165="Parcial",Legenda!$C$5,0))+IF(F165="Sim",Legenda!$C$6,IF(F165="Parcial",Legenda!$C$7,0))+IF(G165="otool + Ghidra",Legenda!$C$8,IF(OR(G165="otool",G165="Ghidra",G165="Outro binário"),Legenda!$C$9,0))+MIN(Legenda!$C$11,MAX(0,J165-1)*Legenda!$C$10))),IF(H165="Parcial",MIN(Legenda!$C$13,MIN(10,IF(E165="Sim",Legenda!$C$4,IF(E165="Parcial",Legenda!$C$5,0))+IF(F165="Sim",Legenda!$C$6,IF(F165="Parcial",Legenda!$C$7,0))+IF(G165="otool + Ghidra",Legenda!$C$8,IF(OR(G165="otool",G165="Ghidra",G165="Outro binário"),Legenda!$C$9,0))+MIN(Legenda!$C$11,MAX(0,J165-1)*Legenda!$C$10))),MIN(10,IF(E165="Sim",Legenda!$C$4,IF(E165="Parcial",Legenda!$C$5,0))+IF(F165="Sim",Legenda!$C$6,IF(F165="Parcial",Legenda!$C$7,0))+IF(G165="otool + Ghidra",Legenda!$C$8,IF(OR(G165="otool",G165="Ghidra",G165="Outro binário"),Legenda!$C$9,0))+MIN(Legenda!$C$11,MAX(0,J165-1)*Legenda!$C$10)))),1)</f>
        <v/>
      </c>
      <c r="M165" s="70" t="inlineStr">
        <is>
          <t>BUILD-PLAN §0; R42</t>
        </is>
      </c>
      <c r="N165" s="70" t="inlineStr">
        <is>
          <t>—</t>
        </is>
      </c>
      <c r="O165" s="70" t="inlineStr">
        <is>
          <t>Paridade total aceita sem a atualização de firmware (decisão explícita).</t>
        </is>
      </c>
      <c r="P165" s="70">
        <f>LEFT(A165,FIND(".",A165&amp;".")-1)</f>
        <v/>
      </c>
    </row>
    <row r="166">
      <c r="A166" s="70" t="inlineStr">
        <is>
          <t>A1-QMC.1</t>
        </is>
      </c>
      <c r="B166" s="70" t="inlineStr">
        <is>
          <t>A1</t>
        </is>
      </c>
      <c r="C166" s="70" t="inlineStr">
        <is>
          <t>FWAVCUnit e comando AV/C com retry</t>
        </is>
      </c>
      <c r="D166" s="70" t="inlineStr">
        <is>
          <t>[+0x268] é FWAVCUnit; vt[0x8b8]=AVCCommandWithErrorResponse (25 retries em bus reset, pausas do CheckAVCError, timeout 1 s). Frame Rev1 8 bytes.</t>
        </is>
      </c>
      <c r="E166" s="70" t="inlineStr">
        <is>
          <t>Sim</t>
        </is>
      </c>
      <c r="F166" s="70" t="inlineStr">
        <is>
          <t>Sim</t>
        </is>
      </c>
      <c r="G166" s="70" t="inlineStr">
        <is>
          <t>otool + Ghidra</t>
        </is>
      </c>
      <c r="H166" s="70" t="inlineStr">
        <is>
          <t>Não</t>
        </is>
      </c>
      <c r="I166" s="70" t="inlineStr">
        <is>
          <t>Ghidra FWAVCUnit__*.c; VtDump2; mafw.asm 0x13734</t>
        </is>
      </c>
      <c r="J166" s="70">
        <f>IF(TRIM(I166)="",0,LEN(I166)-LEN(SUBSTITUTE(I166,";",""))+1)</f>
        <v/>
      </c>
      <c r="K166" s="70" t="inlineStr">
        <is>
          <t>Corrigido 2026-10-17</t>
        </is>
      </c>
      <c r="L166" s="70">
        <f>ROUND(IF(H166="Sim",MIN(Legenda!$C$12,MIN(10,IF(E166="Sim",Legenda!$C$4,IF(E166="Parcial",Legenda!$C$5,0))+IF(F166="Sim",Legenda!$C$6,IF(F166="Parcial",Legenda!$C$7,0))+IF(G166="otool + Ghidra",Legenda!$C$8,IF(OR(G166="otool",G166="Ghidra",G166="Outro binário"),Legenda!$C$9,0))+MIN(Legenda!$C$11,MAX(0,J166-1)*Legenda!$C$10))),IF(H166="Parcial",MIN(Legenda!$C$13,MIN(10,IF(E166="Sim",Legenda!$C$4,IF(E166="Parcial",Legenda!$C$5,0))+IF(F166="Sim",Legenda!$C$6,IF(F166="Parcial",Legenda!$C$7,0))+IF(G166="otool + Ghidra",Legenda!$C$8,IF(OR(G166="otool",G166="Ghidra",G166="Outro binário"),Legenda!$C$9,0))+MIN(Legenda!$C$11,MAX(0,J166-1)*Legenda!$C$10))),MIN(10,IF(E166="Sim",Legenda!$C$4,IF(E166="Parcial",Legenda!$C$5,0))+IF(F166="Sim",Legenda!$C$6,IF(F166="Parcial",Legenda!$C$7,0))+IF(G166="otool + Ghidra",Legenda!$C$8,IF(OR(G166="otool",G166="Ghidra",G166="Outro binário"),Legenda!$C$9,0))+MIN(Legenda!$C$11,MAX(0,J166-1)*Legenda!$C$10)))),1)</f>
        <v/>
      </c>
      <c r="M166" s="70" t="inlineStr">
        <is>
          <t>A1-ghidra/Q-MC-cmp-isoch-avc-start.md §1.1-1.5; R44; Q-AVC-unit-and-O1.md §2; R56</t>
        </is>
      </c>
      <c r="N166" s="70" t="inlineStr">
        <is>
          <t>—</t>
        </is>
      </c>
      <c r="O166" s="70" t="inlineStr">
        <is>
          <t>Q6/Q5 corrigidos ([+0x268] não é FWHSCI). Async AVCCommand/updateSubUnits não portados. [2026-10-17] CORRIGIDO: FWAVCUnit é subclasse de IOFireWireAVCUnit (SL ioreg + asm 0x23c72/0x1692/0x1594/0x17fc); selector/feature/mixer usam a fila async; antes o clone não recebia respostas FCP (timeout 1,27 s). Reconstruído e verificado no hardware (22 ms ACCEPTED).</t>
        </is>
      </c>
      <c r="P166" s="70">
        <f>LEFT(A166,FIND(".",A166&amp;".")-1)</f>
        <v/>
      </c>
    </row>
    <row r="167">
      <c r="A167" s="70" t="inlineStr">
        <is>
          <t>A1-QMC.2</t>
        </is>
      </c>
      <c r="B167" s="70" t="inlineStr">
        <is>
          <t>A1</t>
        </is>
      </c>
      <c r="C167" s="70" t="inlineStr">
        <is>
          <t>Fiação do canal isócrono (talker/listener)</t>
        </is>
      </c>
      <c r="D167" s="70" t="inlineStr">
        <is>
          <t>Porta DCL local = talker; FWRemoteIsochPort = listener, em TX e RX; allocateChannel faz IRM + CMP via manager.</t>
        </is>
      </c>
      <c r="E167" s="70" t="inlineStr">
        <is>
          <t>Sim</t>
        </is>
      </c>
      <c r="F167" s="70" t="inlineStr">
        <is>
          <t>Não</t>
        </is>
      </c>
      <c r="G167" s="70" t="inlineStr">
        <is>
          <t>otool + Ghidra</t>
        </is>
      </c>
      <c r="H167" s="70" t="inlineStr">
        <is>
          <t>Não</t>
        </is>
      </c>
      <c r="I167" s="70" t="inlineStr">
        <is>
          <t>Ghidra CreateIsochChannelAndPorts + vtable do FWIsochChannel</t>
        </is>
      </c>
      <c r="J167" s="70">
        <f>IF(TRIM(I167)="",0,LEN(I167)-LEN(SUBSTITUTE(I167,";",""))+1)</f>
        <v/>
      </c>
      <c r="K167" s="70" t="inlineStr">
        <is>
          <t>Corrigido 2026-10-15</t>
        </is>
      </c>
      <c r="L167" s="70">
        <f>ROUND(IF(H167="Sim",MIN(Legenda!$C$12,MIN(10,IF(E167="Sim",Legenda!$C$4,IF(E167="Parcial",Legenda!$C$5,0))+IF(F167="Sim",Legenda!$C$6,IF(F167="Parcial",Legenda!$C$7,0))+IF(G167="otool + Ghidra",Legenda!$C$8,IF(OR(G167="otool",G167="Ghidra",G167="Outro binário"),Legenda!$C$9,0))+MIN(Legenda!$C$11,MAX(0,J167-1)*Legenda!$C$10))),IF(H167="Parcial",MIN(Legenda!$C$13,MIN(10,IF(E167="Sim",Legenda!$C$4,IF(E167="Parcial",Legenda!$C$5,0))+IF(F167="Sim",Legenda!$C$6,IF(F167="Parcial",Legenda!$C$7,0))+IF(G167="otool + Ghidra",Legenda!$C$8,IF(OR(G167="otool",G167="Ghidra",G167="Outro binário"),Legenda!$C$9,0))+MIN(Legenda!$C$11,MAX(0,J167-1)*Legenda!$C$10))),MIN(10,IF(E167="Sim",Legenda!$C$4,IF(E167="Parcial",Legenda!$C$5,0))+IF(F167="Sim",Legenda!$C$6,IF(F167="Parcial",Legenda!$C$7,0))+IF(G167="otool + Ghidra",Legenda!$C$8,IF(OR(G167="otool",G167="Ghidra",G167="Outro binário"),Legenda!$C$9,0))+MIN(Legenda!$C$11,MAX(0,J167-1)*Legenda!$C$10)))),1)</f>
        <v/>
      </c>
      <c r="M167" s="70" t="inlineStr">
        <is>
          <t>A1-ghidra/Q-MC-cmp-isoch-avc-start.md §1.7-1.8; R44</t>
        </is>
      </c>
      <c r="N167" s="70" t="inlineStr">
        <is>
          <t>—</t>
        </is>
      </c>
      <c r="O167" s="70" t="inlineStr">
        <is>
          <t>Q-CMP-connect §1 e C4 §2.1 tinham talker/listener invertidos.</t>
        </is>
      </c>
      <c r="P167" s="70">
        <f>LEFT(A167,FIND(".",A167&amp;".")-1)</f>
        <v/>
      </c>
    </row>
    <row r="168">
      <c r="A168" s="70" t="inlineStr">
        <is>
          <t>A1-QMC.3</t>
        </is>
      </c>
      <c r="B168" s="70" t="inlineStr">
        <is>
          <t>A1</t>
        </is>
      </c>
      <c r="C168" s="70" t="inlineStr">
        <is>
          <t>Connection manager (CMP) e ordem ConnectAudioMIDIChannels</t>
        </is>
      </c>
      <c r="D168" s="70" t="inlineStr">
        <is>
          <t>updateP2PCount/makeConnection/ReconnectP2P decodificados; ordem TX Connect→500→INPUT 0x19→500→RX Connect→OUTPUT 0x18 confirmada.</t>
        </is>
      </c>
      <c r="E168" s="70" t="inlineStr">
        <is>
          <t>Sim</t>
        </is>
      </c>
      <c r="F168" s="70" t="inlineStr">
        <is>
          <t>Não</t>
        </is>
      </c>
      <c r="G168" s="70" t="inlineStr">
        <is>
          <t>otool + Ghidra</t>
        </is>
      </c>
      <c r="H168" s="70" t="inlineStr">
        <is>
          <t>Parcial</t>
        </is>
      </c>
      <c r="I168" s="70" t="inlineStr">
        <is>
          <t>Ghidra FWAVCConnectionManager__*.c; FWEngine2__ConnectAudioMIDIChannels.c</t>
        </is>
      </c>
      <c r="J168" s="70">
        <f>IF(TRIM(I168)="",0,LEN(I168)-LEN(SUBSTITUTE(I168,";",""))+1)</f>
        <v/>
      </c>
      <c r="K168" s="70" t="inlineStr">
        <is>
          <t>Corrigido 2026-10-15</t>
        </is>
      </c>
      <c r="L168" s="70">
        <f>ROUND(IF(H168="Sim",MIN(Legenda!$C$12,MIN(10,IF(E168="Sim",Legenda!$C$4,IF(E168="Parcial",Legenda!$C$5,0))+IF(F168="Sim",Legenda!$C$6,IF(F168="Parcial",Legenda!$C$7,0))+IF(G168="otool + Ghidra",Legenda!$C$8,IF(OR(G168="otool",G168="Ghidra",G168="Outro binário"),Legenda!$C$9,0))+MIN(Legenda!$C$11,MAX(0,J168-1)*Legenda!$C$10))),IF(H168="Parcial",MIN(Legenda!$C$13,MIN(10,IF(E168="Sim",Legenda!$C$4,IF(E168="Parcial",Legenda!$C$5,0))+IF(F168="Sim",Legenda!$C$6,IF(F168="Parcial",Legenda!$C$7,0))+IF(G168="otool + Ghidra",Legenda!$C$8,IF(OR(G168="otool",G168="Ghidra",G168="Outro binário"),Legenda!$C$9,0))+MIN(Legenda!$C$11,MAX(0,J168-1)*Legenda!$C$10))),MIN(10,IF(E168="Sim",Legenda!$C$4,IF(E168="Parcial",Legenda!$C$5,0))+IF(F168="Sim",Legenda!$C$6,IF(F168="Parcial",Legenda!$C$7,0))+IF(G168="otool + Ghidra",Legenda!$C$8,IF(OR(G168="otool",G168="Ghidra",G168="Outro binário"),Legenda!$C$9,0))+MIN(Legenda!$C$11,MAX(0,J168-1)*Legenda!$C$10)))),1)</f>
        <v/>
      </c>
      <c r="M168" s="70" t="inlineStr">
        <is>
          <t>A1-ghidra/Q-MC-cmp-isoch-avc-start.md §1.6, §1.9-1.16; R44</t>
        </is>
      </c>
      <c r="N168" s="70" t="inlineStr">
        <is>
          <t>—</t>
        </is>
      </c>
      <c r="O168" s="70" t="inlineStr">
        <is>
          <t>Abertos: família do plug PCR do host (output inferido), significado do payload 0x7A, quem chama ResetPort no FWEngine2.</t>
        </is>
      </c>
      <c r="P168" s="70">
        <f>LEFT(A168,FIND(".",A168&amp;".")-1)</f>
        <v/>
      </c>
    </row>
    <row r="169">
      <c r="A169" s="70" t="inlineStr">
        <is>
          <t>A1-QMD.1</t>
        </is>
      </c>
      <c r="B169" s="70" t="inlineStr">
        <is>
          <t>A1</t>
        </is>
      </c>
      <c r="C169" s="70" t="inlineStr">
        <is>
          <t>Cadeia de classes do engine e estado (offsets)</t>
        </is>
      </c>
      <c r="D169" s="70" t="inlineStr">
        <is>
          <t>IOAudioEngine→FWDiscreteEngine→FWBaseEngine→FWEngine2; offsets do IOAudioEngine batem com o SDK 10.13; streams [+0x210]=entrada/[+0x218]=saída; anéis de amostra (ch+m)*0x8000.</t>
        </is>
      </c>
      <c r="E169" s="70" t="inlineStr">
        <is>
          <t>Sim</t>
        </is>
      </c>
      <c r="F169" s="70" t="inlineStr">
        <is>
          <t>Não</t>
        </is>
      </c>
      <c r="G169" s="70" t="inlineStr">
        <is>
          <t>otool + Ghidra</t>
        </is>
      </c>
      <c r="H169" s="70" t="inlineStr">
        <is>
          <t>Não</t>
        </is>
      </c>
      <c r="I169" s="70" t="inlineStr">
        <is>
          <t>Ghidra FWBaseEngine__*/FWEngine2__*; layout do SDK 10.13</t>
        </is>
      </c>
      <c r="J169" s="70">
        <f>IF(TRIM(I169)="",0,LEN(I169)-LEN(SUBSTITUTE(I169,";",""))+1)</f>
        <v/>
      </c>
      <c r="K169" s="70" t="inlineStr">
        <is>
          <t>Corrigido 2026-10-15</t>
        </is>
      </c>
      <c r="L169" s="70">
        <f>ROUND(IF(H169="Sim",MIN(Legenda!$C$12,MIN(10,IF(E169="Sim",Legenda!$C$4,IF(E169="Parcial",Legenda!$C$5,0))+IF(F169="Sim",Legenda!$C$6,IF(F169="Parcial",Legenda!$C$7,0))+IF(G169="otool + Ghidra",Legenda!$C$8,IF(OR(G169="otool",G169="Ghidra",G169="Outro binário"),Legenda!$C$9,0))+MIN(Legenda!$C$11,MAX(0,J169-1)*Legenda!$C$10))),IF(H169="Parcial",MIN(Legenda!$C$13,MIN(10,IF(E169="Sim",Legenda!$C$4,IF(E169="Parcial",Legenda!$C$5,0))+IF(F169="Sim",Legenda!$C$6,IF(F169="Parcial",Legenda!$C$7,0))+IF(G169="otool + Ghidra",Legenda!$C$8,IF(OR(G169="otool",G169="Ghidra",G169="Outro binário"),Legenda!$C$9,0))+MIN(Legenda!$C$11,MAX(0,J169-1)*Legenda!$C$10))),MIN(10,IF(E169="Sim",Legenda!$C$4,IF(E169="Parcial",Legenda!$C$5,0))+IF(F169="Sim",Legenda!$C$6,IF(F169="Parcial",Legenda!$C$7,0))+IF(G169="otool + Ghidra",Legenda!$C$8,IF(OR(G169="otool",G169="Ghidra",G169="Outro binário"),Legenda!$C$9,0))+MIN(Legenda!$C$11,MAX(0,J169-1)*Legenda!$C$10)))),1)</f>
        <v/>
      </c>
      <c r="M169" s="70" t="inlineStr">
        <is>
          <t>A1-ghidra/Q-MD-engine-rate-chain.md §1.1-1.3; R45</t>
        </is>
      </c>
      <c r="N169" s="70" t="inlineStr">
        <is>
          <t>—</t>
        </is>
      </c>
      <c r="O169" s="70" t="inlineStr">
        <is>
          <t>Q13 e Q15c corrigidos.</t>
        </is>
      </c>
      <c r="P169" s="70">
        <f>LEFT(A169,FIND(".",A169&amp;".")-1)</f>
        <v/>
      </c>
    </row>
    <row r="170">
      <c r="A170" s="70" t="inlineStr">
        <is>
          <t>A1-QMD.2</t>
        </is>
      </c>
      <c r="B170" s="70" t="inlineStr">
        <is>
          <t>A1</t>
        </is>
      </c>
      <c r="C170" s="70" t="inlineStr">
        <is>
          <t>Tabelas por taxa (DeviceChannels, taxas, latência, safety offset, banda)</t>
        </is>
      </c>
      <c r="D170" s="70" t="inlineStr">
        <is>
          <t>Quatro DeviceChannels e lista de 6 taxas lidas do binário; latência 210..698; safety offset 44..192; banda=(in+out+2m)*SYT*4+16.</t>
        </is>
      </c>
      <c r="E170" s="70" t="inlineStr">
        <is>
          <t>Sim</t>
        </is>
      </c>
      <c r="F170" s="70" t="inlineStr">
        <is>
          <t>Parcial</t>
        </is>
      </c>
      <c r="G170" s="70" t="inlineStr">
        <is>
          <t>otool + Ghidra</t>
        </is>
      </c>
      <c r="H170" s="70" t="inlineStr">
        <is>
          <t>Não</t>
        </is>
      </c>
      <c r="I170" s="70" t="inlineStr">
        <is>
          <t>bytes do binário 0x2f890/0x363c0..; capturas 72/74 (P4)</t>
        </is>
      </c>
      <c r="J170" s="70">
        <f>IF(TRIM(I170)="",0,LEN(I170)-LEN(SUBSTITUTE(I170,";",""))+1)</f>
        <v/>
      </c>
      <c r="K170" s="70" t="inlineStr">
        <is>
          <t>Corrigido 2026-10-15</t>
        </is>
      </c>
      <c r="L170" s="70">
        <f>ROUND(IF(H170="Sim",MIN(Legenda!$C$12,MIN(10,IF(E170="Sim",Legenda!$C$4,IF(E170="Parcial",Legenda!$C$5,0))+IF(F170="Sim",Legenda!$C$6,IF(F170="Parcial",Legenda!$C$7,0))+IF(G170="otool + Ghidra",Legenda!$C$8,IF(OR(G170="otool",G170="Ghidra",G170="Outro binário"),Legenda!$C$9,0))+MIN(Legenda!$C$11,MAX(0,J170-1)*Legenda!$C$10))),IF(H170="Parcial",MIN(Legenda!$C$13,MIN(10,IF(E170="Sim",Legenda!$C$4,IF(E170="Parcial",Legenda!$C$5,0))+IF(F170="Sim",Legenda!$C$6,IF(F170="Parcial",Legenda!$C$7,0))+IF(G170="otool + Ghidra",Legenda!$C$8,IF(OR(G170="otool",G170="Ghidra",G170="Outro binário"),Legenda!$C$9,0))+MIN(Legenda!$C$11,MAX(0,J170-1)*Legenda!$C$10))),MIN(10,IF(E170="Sim",Legenda!$C$4,IF(E170="Parcial",Legenda!$C$5,0))+IF(F170="Sim",Legenda!$C$6,IF(F170="Parcial",Legenda!$C$7,0))+IF(G170="otool + Ghidra",Legenda!$C$8,IF(OR(G170="otool",G170="Ghidra",G170="Outro binário"),Legenda!$C$9,0))+MIN(Legenda!$C$11,MAX(0,J170-1)*Legenda!$C$10)))),1)</f>
        <v/>
      </c>
      <c r="M170" s="70" t="inlineStr">
        <is>
          <t>FWRates.h; Q-MD §1.4,§1.7,§1.9; R45</t>
        </is>
      </c>
      <c r="N170" s="70" t="inlineStr">
        <is>
          <t>—</t>
        </is>
      </c>
      <c r="O170" s="70" t="inlineStr">
        <is>
          <t>Significado dos 4 grupos de 4 palavras (+0x40) não decodificado.</t>
        </is>
      </c>
      <c r="P170" s="70">
        <f>LEFT(A170,FIND(".",A170&amp;".")-1)</f>
        <v/>
      </c>
    </row>
    <row r="171">
      <c r="A171" s="70" t="inlineStr">
        <is>
          <t>A1-QMD.3</t>
        </is>
      </c>
      <c r="B171" s="70" t="inlineStr">
        <is>
          <t>A1</t>
        </is>
      </c>
      <c r="C171" s="70" t="inlineStr">
        <is>
          <t>Cadeia de troca de taxa/formato e máquina de estados pendentes</t>
        </is>
      </c>
      <c r="D171" s="70" t="inlineStr">
        <is>
          <t>performFormatChange→PerformFormatChange→RequestFormatUpdate→SetIOFormat→PerformSampleRateChangeCore→CompletePendingStateChanges; bits do [+0x344] decodificados.</t>
        </is>
      </c>
      <c r="E171" s="70" t="inlineStr">
        <is>
          <t>Sim</t>
        </is>
      </c>
      <c r="F171" s="70" t="inlineStr">
        <is>
          <t>Não</t>
        </is>
      </c>
      <c r="G171" s="70" t="inlineStr">
        <is>
          <t>otool + Ghidra</t>
        </is>
      </c>
      <c r="H171" s="70" t="inlineStr">
        <is>
          <t>Parcial</t>
        </is>
      </c>
      <c r="I171" s="70" t="inlineStr">
        <is>
          <t>Ghidra FWBaseEngine__CompletePendingStateChangesAction etc.</t>
        </is>
      </c>
      <c r="J171" s="70">
        <f>IF(TRIM(I171)="",0,LEN(I171)-LEN(SUBSTITUTE(I171,";",""))+1)</f>
        <v/>
      </c>
      <c r="K171" s="70" t="inlineStr">
        <is>
          <t>Corrigido 2026-10-15</t>
        </is>
      </c>
      <c r="L171" s="70">
        <f>ROUND(IF(H171="Sim",MIN(Legenda!$C$12,MIN(10,IF(E171="Sim",Legenda!$C$4,IF(E171="Parcial",Legenda!$C$5,0))+IF(F171="Sim",Legenda!$C$6,IF(F171="Parcial",Legenda!$C$7,0))+IF(G171="otool + Ghidra",Legenda!$C$8,IF(OR(G171="otool",G171="Ghidra",G171="Outro binário"),Legenda!$C$9,0))+MIN(Legenda!$C$11,MAX(0,J171-1)*Legenda!$C$10))),IF(H171="Parcial",MIN(Legenda!$C$13,MIN(10,IF(E171="Sim",Legenda!$C$4,IF(E171="Parcial",Legenda!$C$5,0))+IF(F171="Sim",Legenda!$C$6,IF(F171="Parcial",Legenda!$C$7,0))+IF(G171="otool + Ghidra",Legenda!$C$8,IF(OR(G171="otool",G171="Ghidra",G171="Outro binário"),Legenda!$C$9,0))+MIN(Legenda!$C$11,MAX(0,J171-1)*Legenda!$C$10))),MIN(10,IF(E171="Sim",Legenda!$C$4,IF(E171="Parcial",Legenda!$C$5,0))+IF(F171="Sim",Legenda!$C$6,IF(F171="Parcial",Legenda!$C$7,0))+IF(G171="otool + Ghidra",Legenda!$C$8,IF(OR(G171="otool",G171="Ghidra",G171="Outro binário"),Legenda!$C$9,0))+MIN(Legenda!$C$11,MAX(0,J171-1)*Legenda!$C$10)))),1)</f>
        <v/>
      </c>
      <c r="M171" s="70" t="inlineStr">
        <is>
          <t>Q-MD §1.5-1.6; R45</t>
        </is>
      </c>
      <c r="N171" s="70" t="inlineStr">
        <is>
          <t>—</t>
        </is>
      </c>
      <c r="O171" s="70" t="inlineStr">
        <is>
          <t>Abertos: caminho de amostras (M-D2), diferença do FWStream::setFormat, bits 16/17 sem consumidor, [+0x2d1].</t>
        </is>
      </c>
      <c r="P171" s="70">
        <f>LEFT(A171,FIND(".",A171&amp;".")-1)</f>
        <v/>
      </c>
    </row>
    <row r="172">
      <c r="A172" s="70" t="inlineStr">
        <is>
          <t>A1-QMD2.1</t>
        </is>
      </c>
      <c r="B172" s="70" t="inlineStr">
        <is>
          <t>A1</t>
        </is>
      </c>
      <c r="C172" s="70" t="inlineStr">
        <is>
          <t>Entradas IOAudioEngine e cadeia de clip/convert (sub-engine masks, MainEngineClip, ClipPCMOutput, ConvertInputSamplesCore)</t>
        </is>
      </c>
      <c r="D172" s="70" t="inlineStr">
        <is>
          <t>FWDiscreteEngine::clipOutputSamples→ClipSubEngineOutput→vt[0xc38]→vt[0xc90]→vt[0xca0]; convertInputSamples→ConvertSubEngineInput→vt[0xc40]/[0xc98]; stream+0xb0=formato, +0xc0=fIsMixable; contagem por pacote literal.</t>
        </is>
      </c>
      <c r="E172" s="70" t="inlineStr">
        <is>
          <t>Sim</t>
        </is>
      </c>
      <c r="F172" s="70" t="inlineStr">
        <is>
          <t>Não</t>
        </is>
      </c>
      <c r="G172" s="70" t="inlineStr">
        <is>
          <t>otool + Ghidra</t>
        </is>
      </c>
      <c r="H172" s="70" t="inlineStr">
        <is>
          <t>Parcial</t>
        </is>
      </c>
      <c r="I172" s="70" t="inlineStr">
        <is>
          <t>Ghidra FWDiscreteEngine__*, FWBaseEngine__*, FWEngine2__ClipPCMOutput; asm 0x11d72-0x11ed0; IOAudioTypes.h 10.13</t>
        </is>
      </c>
      <c r="J172" s="70">
        <f>IF(TRIM(I172)="",0,LEN(I172)-LEN(SUBSTITUTE(I172,";",""))+1)</f>
        <v/>
      </c>
      <c r="K172" s="70" t="inlineStr">
        <is>
          <t>Corrigido 2026-10-15</t>
        </is>
      </c>
      <c r="L172" s="70">
        <f>ROUND(IF(H172="Sim",MIN(Legenda!$C$12,MIN(10,IF(E172="Sim",Legenda!$C$4,IF(E172="Parcial",Legenda!$C$5,0))+IF(F172="Sim",Legenda!$C$6,IF(F172="Parcial",Legenda!$C$7,0))+IF(G172="otool + Ghidra",Legenda!$C$8,IF(OR(G172="otool",G172="Ghidra",G172="Outro binário"),Legenda!$C$9,0))+MIN(Legenda!$C$11,MAX(0,J172-1)*Legenda!$C$10))),IF(H172="Parcial",MIN(Legenda!$C$13,MIN(10,IF(E172="Sim",Legenda!$C$4,IF(E172="Parcial",Legenda!$C$5,0))+IF(F172="Sim",Legenda!$C$6,IF(F172="Parcial",Legenda!$C$7,0))+IF(G172="otool + Ghidra",Legenda!$C$8,IF(OR(G172="otool",G172="Ghidra",G172="Outro binário"),Legenda!$C$9,0))+MIN(Legenda!$C$11,MAX(0,J172-1)*Legenda!$C$10))),MIN(10,IF(E172="Sim",Legenda!$C$4,IF(E172="Parcial",Legenda!$C$5,0))+IF(F172="Sim",Legenda!$C$6,IF(F172="Parcial",Legenda!$C$7,0))+IF(G172="otool + Ghidra",Legenda!$C$8,IF(OR(G172="otool",G172="Ghidra",G172="Outro binário"),Legenda!$C$9,0))+MIN(Legenda!$C$11,MAX(0,J172-1)*Legenda!$C$10)))),1)</f>
        <v/>
      </c>
      <c r="M172" s="70" t="inlineStr">
        <is>
          <t>A1-ghidra/Q-MD2-sample-path.md §1.1-1.4,1.7; R46</t>
        </is>
      </c>
      <c r="N172" s="70" t="inlineStr">
        <is>
          <t>—</t>
        </is>
      </c>
      <c r="O172" s="70" t="inlineStr">
        <is>
          <t>Aritmética de contagem por pacote espelhada literalmente; [+0x250] sem consumidor (não verificado).</t>
        </is>
      </c>
      <c r="P172" s="70">
        <f>LEFT(A172,FIND(".",A172&amp;".")-1)</f>
        <v/>
      </c>
    </row>
    <row r="173">
      <c r="A173" s="70" t="inlineStr">
        <is>
          <t>A1-QMD2.2</t>
        </is>
      </c>
      <c r="B173" s="70" t="inlineStr">
        <is>
          <t>A1</t>
        </is>
      </c>
      <c r="C173" s="70" t="inlineStr">
        <is>
          <t>Conversores numéricos (Float32&lt;-&gt;Int24 escalado, Rearrange LRLR 4..14, empacotamento AM824)</t>
        </is>
      </c>
      <c r="D173" s="70" t="inlineStr">
        <is>
          <t>x*2^23+0.5 com arredondamento para baixo (MXCSR), clamp; Rearrange identidade, stride dst N+1; quadlet = 40 b2 b1 b0; teste em host passou.</t>
        </is>
      </c>
      <c r="E173" s="70" t="inlineStr">
        <is>
          <t>Sim</t>
        </is>
      </c>
      <c r="F173" s="70" t="inlineStr">
        <is>
          <t>Não</t>
        </is>
      </c>
      <c r="G173" s="70" t="inlineStr">
        <is>
          <t>otool + Ghidra</t>
        </is>
      </c>
      <c r="H173" s="70" t="inlineStr">
        <is>
          <t>Não</t>
        </is>
      </c>
      <c r="I173" s="70" t="inlineStr">
        <is>
          <t>bytes das constantes 0x2fe80-0x2fff8; 11 decompilados _RearrangeSampleFrame*</t>
        </is>
      </c>
      <c r="J173" s="70">
        <f>IF(TRIM(I173)="",0,LEN(I173)-LEN(SUBSTITUTE(I173,";",""))+1)</f>
        <v/>
      </c>
      <c r="K173" s="70" t="inlineStr">
        <is>
          <t>Corrigido 2026-10-15</t>
        </is>
      </c>
      <c r="L173" s="70">
        <f>ROUND(IF(H173="Sim",MIN(Legenda!$C$12,MIN(10,IF(E173="Sim",Legenda!$C$4,IF(E173="Parcial",Legenda!$C$5,0))+IF(F173="Sim",Legenda!$C$6,IF(F173="Parcial",Legenda!$C$7,0))+IF(G173="otool + Ghidra",Legenda!$C$8,IF(OR(G173="otool",G173="Ghidra",G173="Outro binário"),Legenda!$C$9,0))+MIN(Legenda!$C$11,MAX(0,J173-1)*Legenda!$C$10))),IF(H173="Parcial",MIN(Legenda!$C$13,MIN(10,IF(E173="Sim",Legenda!$C$4,IF(E173="Parcial",Legenda!$C$5,0))+IF(F173="Sim",Legenda!$C$6,IF(F173="Parcial",Legenda!$C$7,0))+IF(G173="otool + Ghidra",Legenda!$C$8,IF(OR(G173="otool",G173="Ghidra",G173="Outro binário"),Legenda!$C$9,0))+MIN(Legenda!$C$11,MAX(0,J173-1)*Legenda!$C$10))),MIN(10,IF(E173="Sim",Legenda!$C$4,IF(E173="Parcial",Legenda!$C$5,0))+IF(F173="Sim",Legenda!$C$6,IF(F173="Parcial",Legenda!$C$7,0))+IF(G173="otool + Ghidra",Legenda!$C$8,IF(OR(G173="otool",G173="Ghidra",G173="Outro binário"),Legenda!$C$9,0))+MIN(Legenda!$C$11,MAX(0,J173-1)*Legenda!$C$10)))),1)</f>
        <v/>
      </c>
      <c r="M173" s="70" t="inlineStr">
        <is>
          <t>A1-ghidra/Q-MD2-sample-path.md §1.5-1.6; R46</t>
        </is>
      </c>
      <c r="N173" s="70" t="inlineStr">
        <is>
          <t>—</t>
        </is>
      </c>
      <c r="O173" s="70" t="inlineStr">
        <is>
          <t>Não portados (fora do caminho do FW1814): _SamplePeaks*, LLRR, 1212CS, Int16/Int24 de cliente, remap.</t>
        </is>
      </c>
      <c r="P173" s="70">
        <f>LEFT(A173,FIND(".",A173&amp;".")-1)</f>
        <v/>
      </c>
    </row>
    <row r="174">
      <c r="A174" s="70" t="inlineStr">
        <is>
          <t>A1-QMD2.3</t>
        </is>
      </c>
      <c r="B174" s="70" t="inlineStr">
        <is>
          <t>A1</t>
        </is>
      </c>
      <c r="C174" s="70" t="inlineStr">
        <is>
          <t>ResetRearrangementProcs e WorkaroundFor1814InputDelay (FW1814)</t>
        </is>
      </c>
      <c r="D174" s="70" t="inlineStr">
        <is>
          <t>Procs por contagem de canais; entrada 2ch=um par estéreo; senão anel de 16 quadros x 6 quadlets (tabela i*6 do construtor) com reordenação 0,4,old[0,3,1,4,2,5].</t>
        </is>
      </c>
      <c r="E174" s="70" t="inlineStr">
        <is>
          <t>Sim</t>
        </is>
      </c>
      <c r="F174" s="70" t="inlineStr">
        <is>
          <t>Não</t>
        </is>
      </c>
      <c r="G174" s="70" t="inlineStr">
        <is>
          <t>otool + Ghidra</t>
        </is>
      </c>
      <c r="H174" s="70" t="inlineStr">
        <is>
          <t>Sim</t>
        </is>
      </c>
      <c r="I174" s="70" t="inlineStr">
        <is>
          <t>FW1814Device__ResetRearrangementProcs/WorkaroundFor1814InputDelay/FW1814Device ctor</t>
        </is>
      </c>
      <c r="J174" s="70">
        <f>IF(TRIM(I174)="",0,LEN(I174)-LEN(SUBSTITUTE(I174,";",""))+1)</f>
        <v/>
      </c>
      <c r="K174" s="70" t="inlineStr">
        <is>
          <t>Corrigido 2026-10-15</t>
        </is>
      </c>
      <c r="L174" s="70">
        <f>ROUND(IF(H174="Sim",MIN(Legenda!$C$12,MIN(10,IF(E174="Sim",Legenda!$C$4,IF(E174="Parcial",Legenda!$C$5,0))+IF(F174="Sim",Legenda!$C$6,IF(F174="Parcial",Legenda!$C$7,0))+IF(G174="otool + Ghidra",Legenda!$C$8,IF(OR(G174="otool",G174="Ghidra",G174="Outro binário"),Legenda!$C$9,0))+MIN(Legenda!$C$11,MAX(0,J174-1)*Legenda!$C$10))),IF(H174="Parcial",MIN(Legenda!$C$13,MIN(10,IF(E174="Sim",Legenda!$C$4,IF(E174="Parcial",Legenda!$C$5,0))+IF(F174="Sim",Legenda!$C$6,IF(F174="Parcial",Legenda!$C$7,0))+IF(G174="otool + Ghidra",Legenda!$C$8,IF(OR(G174="otool",G174="Ghidra",G174="Outro binário"),Legenda!$C$9,0))+MIN(Legenda!$C$11,MAX(0,J174-1)*Legenda!$C$10))),MIN(10,IF(E174="Sim",Legenda!$C$4,IF(E174="Parcial",Legenda!$C$5,0))+IF(F174="Sim",Legenda!$C$6,IF(F174="Parcial",Legenda!$C$7,0))+IF(G174="otool + Ghidra",Legenda!$C$8,IF(OR(G174="otool",G174="Ghidra",G174="Outro binário"),Legenda!$C$9,0))+MIN(Legenda!$C$11,MAX(0,J174-1)*Legenda!$C$10)))),1)</f>
        <v/>
      </c>
      <c r="M174" s="70" t="inlineStr">
        <is>
          <t>A1-ghidra/Q-MD2-sample-path.md §1.8-1.9; R46</t>
        </is>
      </c>
      <c r="N174" s="70" t="inlineStr">
        <is>
          <t>—</t>
        </is>
      </c>
      <c r="O174" s="70" t="inlineStr">
        <is>
          <t>Motivo do atraso é palpite (não verificado): precisa de captura de loopback do driver SL. Q9, Q3 e Q13 corrigidos.</t>
        </is>
      </c>
      <c r="P174" s="70">
        <f>LEFT(A174,FIND(".",A174&amp;".")-1)</f>
        <v/>
      </c>
    </row>
    <row r="175">
      <c r="A175" s="70" t="inlineStr">
        <is>
          <t>A1-QME.1</t>
        </is>
      </c>
      <c r="B175" s="70" t="inlineStr">
        <is>
          <t>A1</t>
        </is>
      </c>
      <c r="C175" s="70" t="inlineStr">
        <is>
          <t>Framework de propriedades (FWPropertyDict, props tipadas, imediatas, fila, getter/setter)</t>
        </is>
      </c>
      <c r="D175" s="70" t="inlineStr">
        <is>
          <t>Dict = IOEventSource: conjunto imediato + fila de modificadas + props instaladas; props 32/64 bits, função, array, grupo de canais; AplicaModificadas em workloop; MASampleRate síncrono em setProperties.</t>
        </is>
      </c>
      <c r="E175" s="70" t="inlineStr">
        <is>
          <t>Sim</t>
        </is>
      </c>
      <c r="F175" s="70" t="inlineStr">
        <is>
          <t>Não</t>
        </is>
      </c>
      <c r="G175" s="70" t="inlineStr">
        <is>
          <t>otool + Ghidra</t>
        </is>
      </c>
      <c r="H175" s="70" t="inlineStr">
        <is>
          <t>Não</t>
        </is>
      </c>
      <c r="I175" s="70" t="inlineStr">
        <is>
          <t>Ghidra FWPropertyDict__*, FWBase*Prop__*, FWChannelGroupProperty__*</t>
        </is>
      </c>
      <c r="J175" s="70">
        <f>IF(TRIM(I175)="",0,LEN(I175)-LEN(SUBSTITUTE(I175,";",""))+1)</f>
        <v/>
      </c>
      <c r="K175" s="70" t="inlineStr">
        <is>
          <t>Corrigido 2026-10-15</t>
        </is>
      </c>
      <c r="L175" s="70">
        <f>ROUND(IF(H175="Sim",MIN(Legenda!$C$12,MIN(10,IF(E175="Sim",Legenda!$C$4,IF(E175="Parcial",Legenda!$C$5,0))+IF(F175="Sim",Legenda!$C$6,IF(F175="Parcial",Legenda!$C$7,0))+IF(G175="otool + Ghidra",Legenda!$C$8,IF(OR(G175="otool",G175="Ghidra",G175="Outro binário"),Legenda!$C$9,0))+MIN(Legenda!$C$11,MAX(0,J175-1)*Legenda!$C$10))),IF(H175="Parcial",MIN(Legenda!$C$13,MIN(10,IF(E175="Sim",Legenda!$C$4,IF(E175="Parcial",Legenda!$C$5,0))+IF(F175="Sim",Legenda!$C$6,IF(F175="Parcial",Legenda!$C$7,0))+IF(G175="otool + Ghidra",Legenda!$C$8,IF(OR(G175="otool",G175="Ghidra",G175="Outro binário"),Legenda!$C$9,0))+MIN(Legenda!$C$11,MAX(0,J175-1)*Legenda!$C$10))),MIN(10,IF(E175="Sim",Legenda!$C$4,IF(E175="Parcial",Legenda!$C$5,0))+IF(F175="Sim",Legenda!$C$6,IF(F175="Parcial",Legenda!$C$7,0))+IF(G175="otool + Ghidra",Legenda!$C$8,IF(OR(G175="otool",G175="Ghidra",G175="Outro binário"),Legenda!$C$9,0))+MIN(Legenda!$C$11,MAX(0,J175-1)*Legenda!$C$10)))),1)</f>
        <v/>
      </c>
      <c r="M175" s="70" t="inlineStr">
        <is>
          <t>A1-ghidra/Q-ME-mixer-property-framework.md §1; R47</t>
        </is>
      </c>
      <c r="N175" s="70" t="inlineStr">
        <is>
          <t>—</t>
        </is>
      </c>
      <c r="O175" s="70" t="inlineStr">
        <is>
          <t>Notificação a user clients (M-F) e fila AV/C assíncrona não portadas.</t>
        </is>
      </c>
      <c r="P175" s="70">
        <f>LEFT(A175,FIND(".",A175&amp;".")-1)</f>
        <v/>
      </c>
    </row>
    <row r="176">
      <c r="A176" s="70" t="inlineStr">
        <is>
          <t>A1-QME.2</t>
        </is>
      </c>
      <c r="B176" s="70" t="inlineStr">
        <is>
          <t>A1</t>
        </is>
      </c>
      <c r="C176" s="70" t="inlineStr">
        <is>
          <t>Grupos de canais do FW1814 e escritas em lote (registradores 0x00/08/10/34/38/64)</t>
        </is>
      </c>
      <c r="D176" s="70" t="inlineStr">
        <is>
          <t>Seis grupos (4/18/4/4/22/2), nível×0x80 em int16 BE, 2 canais por quadlet; escritor rotacionado pertence ao grupo aux-send (0x64), não ao aux-out; teste em host passa.</t>
        </is>
      </c>
      <c r="E176" s="70" t="inlineStr">
        <is>
          <t>Sim</t>
        </is>
      </c>
      <c r="F176" s="70" t="inlineStr">
        <is>
          <t>Não</t>
        </is>
      </c>
      <c r="G176" s="70" t="inlineStr">
        <is>
          <t>otool + Ghidra</t>
        </is>
      </c>
      <c r="H176" s="70" t="inlineStr">
        <is>
          <t>Não</t>
        </is>
      </c>
      <c r="I176" s="70" t="inlineStr">
        <is>
          <t>FFADO special_avdevice.h:55-69 (só decodificador); Ghidra m_audio_FWb__*ChannelGroup*</t>
        </is>
      </c>
      <c r="J176" s="70">
        <f>IF(TRIM(I176)="",0,LEN(I176)-LEN(SUBSTITUTE(I176,";",""))+1)</f>
        <v/>
      </c>
      <c r="K176" s="70" t="inlineStr">
        <is>
          <t>Corrigido 2026-10-15</t>
        </is>
      </c>
      <c r="L176" s="70">
        <f>ROUND(IF(H176="Sim",MIN(Legenda!$C$12,MIN(10,IF(E176="Sim",Legenda!$C$4,IF(E176="Parcial",Legenda!$C$5,0))+IF(F176="Sim",Legenda!$C$6,IF(F176="Parcial",Legenda!$C$7,0))+IF(G176="otool + Ghidra",Legenda!$C$8,IF(OR(G176="otool",G176="Ghidra",G176="Outro binário"),Legenda!$C$9,0))+MIN(Legenda!$C$11,MAX(0,J176-1)*Legenda!$C$10))),IF(H176="Parcial",MIN(Legenda!$C$13,MIN(10,IF(E176="Sim",Legenda!$C$4,IF(E176="Parcial",Legenda!$C$5,0))+IF(F176="Sim",Legenda!$C$6,IF(F176="Parcial",Legenda!$C$7,0))+IF(G176="otool + Ghidra",Legenda!$C$8,IF(OR(G176="otool",G176="Ghidra",G176="Outro binário"),Legenda!$C$9,0))+MIN(Legenda!$C$11,MAX(0,J176-1)*Legenda!$C$10))),MIN(10,IF(E176="Sim",Legenda!$C$4,IF(E176="Parcial",Legenda!$C$5,0))+IF(F176="Sim",Legenda!$C$6,IF(F176="Parcial",Legenda!$C$7,0))+IF(G176="otool + Ghidra",Legenda!$C$8,IF(OR(G176="otool",G176="Ghidra",G176="Outro binário"),Legenda!$C$9,0))+MIN(Legenda!$C$11,MAX(0,J176-1)*Legenda!$C$10)))),1)</f>
        <v/>
      </c>
      <c r="M176" s="70" t="inlineStr">
        <is>
          <t>A1-ghidra/Q-ME §2; R47</t>
        </is>
      </c>
      <c r="N176" s="70" t="inlineStr">
        <is>
          <t>—</t>
        </is>
      </c>
      <c r="O176" s="70" t="inlineStr">
        <is>
          <t>Q15f corrigido (mapeamento do grupo aux).</t>
        </is>
      </c>
      <c r="P176" s="70">
        <f>LEFT(A176,FIND(".",A176&amp;".")-1)</f>
        <v/>
      </c>
    </row>
    <row r="177">
      <c r="A177" s="70" t="inlineStr">
        <is>
          <t>A1-QME.3</t>
        </is>
      </c>
      <c r="B177" s="70" t="inlineStr">
        <is>
          <t>A1</t>
        </is>
      </c>
      <c r="C177" s="70" t="inlineStr">
        <is>
          <t>Classes de configuração (Levels, AuxSend, Rotary, ABSwitch) e chaves MA*</t>
        </is>
      </c>
      <c r="D177" s="70" t="inlineStr">
        <is>
          <t>Chaves literais por grupo, valores de fábrica, semântica de mute/solo/dim/link, knob, A/B e LEDs; controles IOAudio (volume/mudo) criados no Levels.</t>
        </is>
      </c>
      <c r="E177" s="70" t="inlineStr">
        <is>
          <t>Sim</t>
        </is>
      </c>
      <c r="F177" s="70" t="inlineStr">
        <is>
          <t>Não</t>
        </is>
      </c>
      <c r="G177" s="70" t="inlineStr">
        <is>
          <t>otool + Ghidra</t>
        </is>
      </c>
      <c r="H177" s="70" t="inlineStr">
        <is>
          <t>Parcial</t>
        </is>
      </c>
      <c r="I177" s="70" t="inlineStr">
        <is>
          <t>Ghidra FWSettings*__*; asm 0xdaaa (LED)</t>
        </is>
      </c>
      <c r="J177" s="70">
        <f>IF(TRIM(I177)="",0,LEN(I177)-LEN(SUBSTITUTE(I177,";",""))+1)</f>
        <v/>
      </c>
      <c r="K177" s="70" t="inlineStr">
        <is>
          <t>Corrigido 2026-10-15</t>
        </is>
      </c>
      <c r="L177" s="70">
        <f>ROUND(IF(H177="Sim",MIN(Legenda!$C$12,MIN(10,IF(E177="Sim",Legenda!$C$4,IF(E177="Parcial",Legenda!$C$5,0))+IF(F177="Sim",Legenda!$C$6,IF(F177="Parcial",Legenda!$C$7,0))+IF(G177="otool + Ghidra",Legenda!$C$8,IF(OR(G177="otool",G177="Ghidra",G177="Outro binário"),Legenda!$C$9,0))+MIN(Legenda!$C$11,MAX(0,J177-1)*Legenda!$C$10))),IF(H177="Parcial",MIN(Legenda!$C$13,MIN(10,IF(E177="Sim",Legenda!$C$4,IF(E177="Parcial",Legenda!$C$5,0))+IF(F177="Sim",Legenda!$C$6,IF(F177="Parcial",Legenda!$C$7,0))+IF(G177="otool + Ghidra",Legenda!$C$8,IF(OR(G177="otool",G177="Ghidra",G177="Outro binário"),Legenda!$C$9,0))+MIN(Legenda!$C$11,MAX(0,J177-1)*Legenda!$C$10))),MIN(10,IF(E177="Sim",Legenda!$C$4,IF(E177="Parcial",Legenda!$C$5,0))+IF(F177="Sim",Legenda!$C$6,IF(F177="Parcial",Legenda!$C$7,0))+IF(G177="otool + Ghidra",Legenda!$C$8,IF(OR(G177="otool",G177="Ghidra",G177="Outro binário"),Legenda!$C$9,0))+MIN(Legenda!$C$11,MAX(0,J177-1)*Legenda!$C$10)))),1)</f>
        <v/>
      </c>
      <c r="M177" s="70" t="inlineStr">
        <is>
          <t>A1-ghidra/Q-ME §3; R47</t>
        </is>
      </c>
      <c r="N177" s="70" t="inlineStr">
        <is>
          <t>—</t>
        </is>
      </c>
      <c r="O177" s="70" t="inlineStr">
        <is>
          <t>Pan por AV/C e roteamento SW-return por AV/C enviados em modo síncrono (desvio rotulado).</t>
        </is>
      </c>
      <c r="P177" s="70">
        <f>LEFT(A177,FIND(".",A177&amp;".")-1)</f>
        <v/>
      </c>
    </row>
    <row r="178">
      <c r="A178" s="70" t="inlineStr">
        <is>
          <t>A1-QME.4</t>
        </is>
      </c>
      <c r="B178" s="70" t="inlineStr">
        <is>
          <t>A1</t>
        </is>
      </c>
      <c r="C178" s="70" t="inlineStr">
        <is>
          <t>Clock source HSCI, SetClockSource, blank slate, SwitchDigitalSignals, ReconnectP2P, peaks do 1814</t>
        </is>
      </c>
      <c r="D178" s="70" t="inlineStr">
        <is>
          <t>Quadro 00 FF 00 04 00 04 [sel] [b3][b4][b5] (asm; Ghidra errado), sequência com sleeps 300/300/2500 ms, DeviceChannels/peaks/rearranjo/nomes de canais após troca digital.</t>
        </is>
      </c>
      <c r="E178" s="70" t="inlineStr">
        <is>
          <t>Sim</t>
        </is>
      </c>
      <c r="F178" s="70" t="inlineStr">
        <is>
          <t>Parcial</t>
        </is>
      </c>
      <c r="G178" s="70" t="inlineStr">
        <is>
          <t>otool + Ghidra</t>
        </is>
      </c>
      <c r="H178" s="70" t="inlineStr">
        <is>
          <t>Não</t>
        </is>
      </c>
      <c r="I178" s="70" t="inlineStr">
        <is>
          <t>asm 0xe25c-0xe4ee; capturas 72/73 (sleeps)</t>
        </is>
      </c>
      <c r="J178" s="70">
        <f>IF(TRIM(I178)="",0,LEN(I178)-LEN(SUBSTITUTE(I178,";",""))+1)</f>
        <v/>
      </c>
      <c r="K178" s="70" t="inlineStr">
        <is>
          <t>Corrigido 2026-10-15</t>
        </is>
      </c>
      <c r="L178" s="70">
        <f>ROUND(IF(H178="Sim",MIN(Legenda!$C$12,MIN(10,IF(E178="Sim",Legenda!$C$4,IF(E178="Parcial",Legenda!$C$5,0))+IF(F178="Sim",Legenda!$C$6,IF(F178="Parcial",Legenda!$C$7,0))+IF(G178="otool + Ghidra",Legenda!$C$8,IF(OR(G178="otool",G178="Ghidra",G178="Outro binário"),Legenda!$C$9,0))+MIN(Legenda!$C$11,MAX(0,J178-1)*Legenda!$C$10))),IF(H178="Parcial",MIN(Legenda!$C$13,MIN(10,IF(E178="Sim",Legenda!$C$4,IF(E178="Parcial",Legenda!$C$5,0))+IF(F178="Sim",Legenda!$C$6,IF(F178="Parcial",Legenda!$C$7,0))+IF(G178="otool + Ghidra",Legenda!$C$8,IF(OR(G178="otool",G178="Ghidra",G178="Outro binário"),Legenda!$C$9,0))+MIN(Legenda!$C$11,MAX(0,J178-1)*Legenda!$C$10))),MIN(10,IF(E178="Sim",Legenda!$C$4,IF(E178="Parcial",Legenda!$C$5,0))+IF(F178="Sim",Legenda!$C$6,IF(F178="Parcial",Legenda!$C$7,0))+IF(G178="otool + Ghidra",Legenda!$C$8,IF(OR(G178="otool",G178="Ghidra",G178="Outro binário"),Legenda!$C$9,0))+MIN(Legenda!$C$11,MAX(0,J178-1)*Legenda!$C$10)))),1)</f>
        <v/>
      </c>
      <c r="M178" s="70" t="inlineStr">
        <is>
          <t>A1-ghidra/Q-ME §4; R47</t>
        </is>
      </c>
      <c r="N178" s="70" t="inlineStr">
        <is>
          <t>—</t>
        </is>
      </c>
      <c r="O178" s="70" t="inlineStr">
        <is>
          <t>Peak proc só ativa após o primeiro SetClockSourceInternal não-blank (comportamento da referência).</t>
        </is>
      </c>
      <c r="P178" s="70">
        <f>LEFT(A178,FIND(".",A178&amp;".")-1)</f>
        <v/>
      </c>
    </row>
    <row r="179">
      <c r="A179" s="70" t="inlineStr">
        <is>
          <t>A1-QME.5</t>
        </is>
      </c>
      <c r="B179" s="70" t="inlineStr">
        <is>
          <t>A1</t>
        </is>
      </c>
      <c r="C179" s="70" t="inlineStr">
        <is>
          <t>Poll HSCI de 50 ms e pacote de controle (medidores peak[52], rotativos, botão A/B, lock+FDF)</t>
        </is>
      </c>
      <c r="D179" s="70" t="inlineStr">
        <is>
          <t>Leitura de 0x58 bytes em 0xFFC7:0x600000; decodificação em meters[0..51]; DetectExternalSyncChanges; fluxo de initHardware (Q3b §1) e IDs únicos.</t>
        </is>
      </c>
      <c r="E179" s="70" t="inlineStr">
        <is>
          <t>Sim</t>
        </is>
      </c>
      <c r="F179" s="70" t="inlineStr">
        <is>
          <t>Não</t>
        </is>
      </c>
      <c r="G179" s="70" t="inlineStr">
        <is>
          <t>otool + Ghidra</t>
        </is>
      </c>
      <c r="H179" s="70" t="inlineStr">
        <is>
          <t>Parcial</t>
        </is>
      </c>
      <c r="I179" s="70" t="inlineStr">
        <is>
          <t>Ghidra FWHSCI__*, FW1814Device__ReceiveControlPacket*</t>
        </is>
      </c>
      <c r="J179" s="70">
        <f>IF(TRIM(I179)="",0,LEN(I179)-LEN(SUBSTITUTE(I179,";",""))+1)</f>
        <v/>
      </c>
      <c r="K179" s="70" t="inlineStr">
        <is>
          <t>Corrigido 2026-10-15</t>
        </is>
      </c>
      <c r="L179" s="70">
        <f>ROUND(IF(H179="Sim",MIN(Legenda!$C$12,MIN(10,IF(E179="Sim",Legenda!$C$4,IF(E179="Parcial",Legenda!$C$5,0))+IF(F179="Sim",Legenda!$C$6,IF(F179="Parcial",Legenda!$C$7,0))+IF(G179="otool + Ghidra",Legenda!$C$8,IF(OR(G179="otool",G179="Ghidra",G179="Outro binário"),Legenda!$C$9,0))+MIN(Legenda!$C$11,MAX(0,J179-1)*Legenda!$C$10))),IF(H179="Parcial",MIN(Legenda!$C$13,MIN(10,IF(E179="Sim",Legenda!$C$4,IF(E179="Parcial",Legenda!$C$5,0))+IF(F179="Sim",Legenda!$C$6,IF(F179="Parcial",Legenda!$C$7,0))+IF(G179="otool + Ghidra",Legenda!$C$8,IF(OR(G179="otool",G179="Ghidra",G179="Outro binário"),Legenda!$C$9,0))+MIN(Legenda!$C$11,MAX(0,J179-1)*Legenda!$C$10))),MIN(10,IF(E179="Sim",Legenda!$C$4,IF(E179="Parcial",Legenda!$C$5,0))+IF(F179="Sim",Legenda!$C$6,IF(F179="Parcial",Legenda!$C$7,0))+IF(G179="otool + Ghidra",Legenda!$C$8,IF(OR(G179="otool",G179="Ghidra",G179="Outro binário"),Legenda!$C$9,0))+MIN(Legenda!$C$11,MAX(0,J179-1)*Legenda!$C$10)))),1)</f>
        <v/>
      </c>
      <c r="M179" s="70" t="inlineStr">
        <is>
          <t>A1-ghidra/Q-ME §5-§7b; R47</t>
        </is>
      </c>
      <c r="N179" s="70" t="inlineStr">
        <is>
          <t>—</t>
        </is>
      </c>
      <c r="O179" s="70" t="inlineStr">
        <is>
          <t>Ordem de bytes do IOFWReadQuadCommand no 10.13 e IOCreateThread: verificar na execução integrada.</t>
        </is>
      </c>
      <c r="P179" s="70">
        <f>LEFT(A179,FIND(".",A179&amp;".")-1)</f>
        <v/>
      </c>
    </row>
    <row r="180">
      <c r="A180" s="70" t="inlineStr">
        <is>
          <t>A1-QMF.1</t>
        </is>
      </c>
      <c r="B180" s="70" t="inlineStr">
        <is>
          <t>A1</t>
        </is>
      </c>
      <c r="C180" s="70" t="inlineStr">
        <is>
          <t>User client: registro, entrega de mudanças de propriedades (cache + serialização XML + mach msg), seletores 500-507, memória 1/0x400/0x800</t>
        </is>
      </c>
      <c r="D180" s="70" t="inlineStr">
        <is>
          <t>Caminho de entrega em dois passos; seletores e contagens relidos; ações MIDI no workloop; página de medidores somente leitura; FWEngineUserClient vazio.</t>
        </is>
      </c>
      <c r="E180" s="70" t="inlineStr">
        <is>
          <t>Sim</t>
        </is>
      </c>
      <c r="F180" s="70" t="inlineStr">
        <is>
          <t>Não</t>
        </is>
      </c>
      <c r="G180" s="70" t="inlineStr">
        <is>
          <t>otool + Ghidra</t>
        </is>
      </c>
      <c r="H180" s="70" t="inlineStr">
        <is>
          <t>Não</t>
        </is>
      </c>
      <c r="I180" s="70" t="inlineStr">
        <is>
          <t>Ghidra FWKIPCUserClient__*, FWUserClient__*</t>
        </is>
      </c>
      <c r="J180" s="70">
        <f>IF(TRIM(I180)="",0,LEN(I180)-LEN(SUBSTITUTE(I180,";",""))+1)</f>
        <v/>
      </c>
      <c r="K180" s="70" t="inlineStr">
        <is>
          <t>Corrigido 2026-10-15</t>
        </is>
      </c>
      <c r="L180" s="70">
        <f>ROUND(IF(H180="Sim",MIN(Legenda!$C$12,MIN(10,IF(E180="Sim",Legenda!$C$4,IF(E180="Parcial",Legenda!$C$5,0))+IF(F180="Sim",Legenda!$C$6,IF(F180="Parcial",Legenda!$C$7,0))+IF(G180="otool + Ghidra",Legenda!$C$8,IF(OR(G180="otool",G180="Ghidra",G180="Outro binário"),Legenda!$C$9,0))+MIN(Legenda!$C$11,MAX(0,J180-1)*Legenda!$C$10))),IF(H180="Parcial",MIN(Legenda!$C$13,MIN(10,IF(E180="Sim",Legenda!$C$4,IF(E180="Parcial",Legenda!$C$5,0))+IF(F180="Sim",Legenda!$C$6,IF(F180="Parcial",Legenda!$C$7,0))+IF(G180="otool + Ghidra",Legenda!$C$8,IF(OR(G180="otool",G180="Ghidra",G180="Outro binário"),Legenda!$C$9,0))+MIN(Legenda!$C$11,MAX(0,J180-1)*Legenda!$C$10))),MIN(10,IF(E180="Sim",Legenda!$C$4,IF(E180="Parcial",Legenda!$C$5,0))+IF(F180="Sim",Legenda!$C$6,IF(F180="Parcial",Legenda!$C$7,0))+IF(G180="otool + Ghidra",Legenda!$C$8,IF(OR(G180="otool",G180="Ghidra",G180="Outro binário"),Legenda!$C$9,0))+MIN(Legenda!$C$11,MAX(0,J180-1)*Legenda!$C$10)))),1)</f>
        <v/>
      </c>
      <c r="M180" s="70" t="inlineStr">
        <is>
          <t>A1-ghidra/Q-MF-userclient-and-power.md; R48</t>
        </is>
      </c>
      <c r="N180" s="70" t="inlineStr">
        <is>
          <t>—</t>
        </is>
      </c>
      <c r="O180" s="70" t="inlineStr">
        <is>
          <t>Desvios: terminate() no clientClose; espera por IOLock; registro com lock.</t>
        </is>
      </c>
      <c r="P180" s="70">
        <f>LEFT(A180,FIND(".",A180&amp;".")-1)</f>
        <v/>
      </c>
    </row>
    <row r="181">
      <c r="A181" s="70" t="inlineStr">
        <is>
          <t>A1-QMF.2</t>
        </is>
      </c>
      <c r="B181" s="70" t="inlineStr">
        <is>
          <t>A1</t>
        </is>
      </c>
      <c r="C181" s="70" t="inlineStr">
        <is>
          <t>Ganchos de energia do device (performPowerStateChange, SystemWillSleep/WokeUp, WakeAfterSleep)</t>
        </is>
      </c>
      <c r="D181" s="70" t="inlineStr">
        <is>
          <t>sleep-&gt;active marca acordou; active-&gt;sleep chama SystemWillSleep; resume em thread nova chama SystemWokeUp.</t>
        </is>
      </c>
      <c r="E181" s="70" t="inlineStr">
        <is>
          <t>Sim</t>
        </is>
      </c>
      <c r="F181" s="70" t="inlineStr">
        <is>
          <t>Não</t>
        </is>
      </c>
      <c r="G181" s="70" t="inlineStr">
        <is>
          <t>otool + Ghidra</t>
        </is>
      </c>
      <c r="H181" s="70" t="inlineStr">
        <is>
          <t>Não</t>
        </is>
      </c>
      <c r="I181" s="70" t="inlineStr">
        <is>
          <t>Ghidra FWAudioDevice__*, FWAVCAudioDevice__System*; dump de vtable FWAVCConnectionManager</t>
        </is>
      </c>
      <c r="J181" s="70">
        <f>IF(TRIM(I181)="",0,LEN(I181)-LEN(SUBSTITUTE(I181,";",""))+1)</f>
        <v/>
      </c>
      <c r="K181" s="70" t="inlineStr">
        <is>
          <t>Corrigido 2026-10-15</t>
        </is>
      </c>
      <c r="L181" s="70">
        <f>ROUND(IF(H181="Sim",MIN(Legenda!$C$12,MIN(10,IF(E181="Sim",Legenda!$C$4,IF(E181="Parcial",Legenda!$C$5,0))+IF(F181="Sim",Legenda!$C$6,IF(F181="Parcial",Legenda!$C$7,0))+IF(G181="otool + Ghidra",Legenda!$C$8,IF(OR(G181="otool",G181="Ghidra",G181="Outro binário"),Legenda!$C$9,0))+MIN(Legenda!$C$11,MAX(0,J181-1)*Legenda!$C$10))),IF(H181="Parcial",MIN(Legenda!$C$13,MIN(10,IF(E181="Sim",Legenda!$C$4,IF(E181="Parcial",Legenda!$C$5,0))+IF(F181="Sim",Legenda!$C$6,IF(F181="Parcial",Legenda!$C$7,0))+IF(G181="otool + Ghidra",Legenda!$C$8,IF(OR(G181="otool",G181="Ghidra",G181="Outro binário"),Legenda!$C$9,0))+MIN(Legenda!$C$11,MAX(0,J181-1)*Legenda!$C$10))),MIN(10,IF(E181="Sim",Legenda!$C$4,IF(E181="Parcial",Legenda!$C$5,0))+IF(F181="Sim",Legenda!$C$6,IF(F181="Parcial",Legenda!$C$7,0))+IF(G181="otool + Ghidra",Legenda!$C$8,IF(OR(G181="otool",G181="Ghidra",G181="Outro binário"),Legenda!$C$9,0))+MIN(Legenda!$C$11,MAX(0,J181-1)*Legenda!$C$10)))),1)</f>
        <v/>
      </c>
      <c r="M181" s="70" t="inlineStr">
        <is>
          <t>A1-ghidra/Q-MF-userclient-and-power.md; R48</t>
        </is>
      </c>
      <c r="N181" s="70" t="inlineStr">
        <is>
          <t>—</t>
        </is>
      </c>
      <c r="O181" s="70" t="inlineStr">
        <is>
          <t>IOCreateThread e mach_msg no 10.13.6 só no teste integrado.</t>
        </is>
      </c>
      <c r="P181" s="70">
        <f>LEFT(A181,FIND(".",A181&amp;".")-1)</f>
        <v/>
      </c>
    </row>
    <row r="182">
      <c r="A182" s="70" t="inlineStr">
        <is>
          <t>A1-QMJ.1</t>
        </is>
      </c>
      <c r="B182" s="70" t="inlineStr">
        <is>
          <t>A1</t>
        </is>
      </c>
      <c r="C182" s="70" t="inlineStr">
        <is>
          <t>Engines de par estéreo (FWTimeSlaveEngine/FWPairEngine/FWPairStream) e criação/ativação</t>
        </is>
      </c>
      <c r="D182" s="70" t="inlineStr">
        <is>
          <t>Cadeia IOAudioEngine→TimeSlave→Pair; status compartilhado; mix/cópia no buffer multicanal do mestre; chave (tipo, índice); nomes; opcional via MAEnableStereoPairEngines.</t>
        </is>
      </c>
      <c r="E182" s="70" t="inlineStr">
        <is>
          <t>Sim</t>
        </is>
      </c>
      <c r="F182" s="70" t="inlineStr">
        <is>
          <t>Não</t>
        </is>
      </c>
      <c r="G182" s="70" t="inlineStr">
        <is>
          <t>otool + Ghidra</t>
        </is>
      </c>
      <c r="H182" s="70" t="inlineStr">
        <is>
          <t>Não</t>
        </is>
      </c>
      <c r="I182" s="70" t="inlineStr">
        <is>
          <t>Ghidra FWPairEngine__*, FWTimeSlaveEngine__*, FWAudioDevice__CreateStereoPairSubEngines</t>
        </is>
      </c>
      <c r="J182" s="70">
        <f>IF(TRIM(I182)="",0,LEN(I182)-LEN(SUBSTITUTE(I182,";",""))+1)</f>
        <v/>
      </c>
      <c r="K182" s="70" t="inlineStr">
        <is>
          <t>Corrigido 2026-10-15</t>
        </is>
      </c>
      <c r="L182" s="70">
        <f>ROUND(IF(H182="Sim",MIN(Legenda!$C$12,MIN(10,IF(E182="Sim",Legenda!$C$4,IF(E182="Parcial",Legenda!$C$5,0))+IF(F182="Sim",Legenda!$C$6,IF(F182="Parcial",Legenda!$C$7,0))+IF(G182="otool + Ghidra",Legenda!$C$8,IF(OR(G182="otool",G182="Ghidra",G182="Outro binário"),Legenda!$C$9,0))+MIN(Legenda!$C$11,MAX(0,J182-1)*Legenda!$C$10))),IF(H182="Parcial",MIN(Legenda!$C$13,MIN(10,IF(E182="Sim",Legenda!$C$4,IF(E182="Parcial",Legenda!$C$5,0))+IF(F182="Sim",Legenda!$C$6,IF(F182="Parcial",Legenda!$C$7,0))+IF(G182="otool + Ghidra",Legenda!$C$8,IF(OR(G182="otool",G182="Ghidra",G182="Outro binário"),Legenda!$C$9,0))+MIN(Legenda!$C$11,MAX(0,J182-1)*Legenda!$C$10))),MIN(10,IF(E182="Sim",Legenda!$C$4,IF(E182="Parcial",Legenda!$C$5,0))+IF(F182="Sim",Legenda!$C$6,IF(F182="Parcial",Legenda!$C$7,0))+IF(G182="otool + Ghidra",Legenda!$C$8,IF(OR(G182="otool",G182="Ghidra",G182="Outro binário"),Legenda!$C$9,0))+MIN(Legenda!$C$11,MAX(0,J182-1)*Legenda!$C$10)))),1)</f>
        <v/>
      </c>
      <c r="M182" s="70" t="inlineStr">
        <is>
          <t>A1-ghidra/Q-MJ-pair-engines.md; R49</t>
        </is>
      </c>
      <c r="N182" s="70" t="inlineStr">
        <is>
          <t>—</t>
        </is>
      </c>
      <c r="O182" s="70" t="inlineStr">
        <is>
          <t>Contagem de engines vs SL só no teste integrado; FWEngine1 não portado (não usado no FW1814).</t>
        </is>
      </c>
      <c r="P182" s="70">
        <f>LEFT(A182,FIND(".",A182&amp;".")-1)</f>
        <v/>
      </c>
    </row>
    <row r="183">
      <c r="A183" s="70" t="inlineStr">
        <is>
          <t>A1-QMH.1</t>
        </is>
      </c>
      <c r="B183" s="70" t="inlineStr">
        <is>
          <t>A1</t>
        </is>
      </c>
      <c r="C183" s="70" t="inlineStr">
        <is>
          <t>MIDI no kext: portas, anéis, agendamento de slots 0x81 no TX, RX por bloco, start/stop com contagem de referências</t>
        </is>
      </c>
      <c r="D183" s="70" t="inlineStr">
        <is>
          <t>Layout da página de 8 KiB (byte ring / anéis de 128 slots de 16 B), campos do engine sobrepõem o bloco compartilhado, propriedades MAMIDI*Ports, ScheduleMidiPacket e ProcessCompoundMIDIOutput.</t>
        </is>
      </c>
      <c r="E183" s="70" t="inlineStr">
        <is>
          <t>Sim</t>
        </is>
      </c>
      <c r="F183" s="70" t="inlineStr">
        <is>
          <t>Não</t>
        </is>
      </c>
      <c r="G183" s="70" t="inlineStr">
        <is>
          <t>otool + Ghidra</t>
        </is>
      </c>
      <c r="H183" s="70" t="inlineStr">
        <is>
          <t>Não</t>
        </is>
      </c>
      <c r="I183" s="70" t="inlineStr">
        <is>
          <t>Ghidra TMIDIPort/TKernelMIDIPort/FWBaseEngine MIDI/FWDCLOutputProgram</t>
        </is>
      </c>
      <c r="J183" s="70">
        <f>IF(TRIM(I183)="",0,LEN(I183)-LEN(SUBSTITUTE(I183,";",""))+1)</f>
        <v/>
      </c>
      <c r="K183" s="70" t="inlineStr">
        <is>
          <t>Corrigido 2026-10-15</t>
        </is>
      </c>
      <c r="L183" s="70">
        <f>ROUND(IF(H183="Sim",MIN(Legenda!$C$12,MIN(10,IF(E183="Sim",Legenda!$C$4,IF(E183="Parcial",Legenda!$C$5,0))+IF(F183="Sim",Legenda!$C$6,IF(F183="Parcial",Legenda!$C$7,0))+IF(G183="otool + Ghidra",Legenda!$C$8,IF(OR(G183="otool",G183="Ghidra",G183="Outro binário"),Legenda!$C$9,0))+MIN(Legenda!$C$11,MAX(0,J183-1)*Legenda!$C$10))),IF(H183="Parcial",MIN(Legenda!$C$13,MIN(10,IF(E183="Sim",Legenda!$C$4,IF(E183="Parcial",Legenda!$C$5,0))+IF(F183="Sim",Legenda!$C$6,IF(F183="Parcial",Legenda!$C$7,0))+IF(G183="otool + Ghidra",Legenda!$C$8,IF(OR(G183="otool",G183="Ghidra",G183="Outro binário"),Legenda!$C$9,0))+MIN(Legenda!$C$11,MAX(0,J183-1)*Legenda!$C$10))),MIN(10,IF(E183="Sim",Legenda!$C$4,IF(E183="Parcial",Legenda!$C$5,0))+IF(F183="Sim",Legenda!$C$6,IF(F183="Parcial",Legenda!$C$7,0))+IF(G183="otool + Ghidra",Legenda!$C$8,IF(OR(G183="otool",G183="Ghidra",G183="Outro binário"),Legenda!$C$9,0))+MIN(Legenda!$C$11,MAX(0,J183-1)*Legenda!$C$10)))),1)</f>
        <v/>
      </c>
      <c r="M183" s="70" t="inlineStr">
        <is>
          <t>A1-ghidra/Q-MH-kernel-midi.md; R50</t>
        </is>
      </c>
      <c r="N183" s="70" t="inlineStr">
        <is>
          <t>—</t>
        </is>
      </c>
      <c r="O183" s="70" t="inlineStr">
        <is>
          <t>Relógio dos timestamps (ns do host) e plug-in em espaço de usuário (M-H2) pendentes.</t>
        </is>
      </c>
      <c r="P183" s="70">
        <f>LEFT(A183,FIND(".",A183&amp;".")-1)</f>
        <v/>
      </c>
    </row>
    <row r="184" s="21">
      <c r="A184" s="70" t="inlineStr">
        <is>
          <t>A1-QMI.1</t>
        </is>
      </c>
      <c r="B184" s="70" t="inlineStr">
        <is>
          <t>A1</t>
        </is>
      </c>
      <c r="C184" s="70" t="inlineStr">
        <is>
          <t>AC3 / IEC 61937: formato cac3, entrar/sair, transporte só TX, ClipAC3Output (palavras de 16 bits nos canais 4/5)</t>
        </is>
      </c>
      <c r="D184" s="70" t="inlineStr">
        <is>
          <t>SupportsAC3=1, WantsAC3MixerBypass=0, canais (4,5); oferta cac3 em 44,1/48/96 kHz na saída; Enable/DisableAC3Format; Start/Activate/DeactivateAC3Output; SetAC3OutputState inerte no FW1814.</t>
        </is>
      </c>
      <c r="E184" s="70" t="inlineStr">
        <is>
          <t>Sim</t>
        </is>
      </c>
      <c r="F184" s="70" t="inlineStr">
        <is>
          <t>Não</t>
        </is>
      </c>
      <c r="G184" s="70" t="inlineStr">
        <is>
          <t>otool + Ghidra</t>
        </is>
      </c>
      <c r="H184" s="70" t="inlineStr">
        <is>
          <t>Não</t>
        </is>
      </c>
      <c r="I184" s="70" t="inlineStr">
        <is>
          <t>Ghidra FWEngine2__*AC3*, FWBaseEngine__*AC3*</t>
        </is>
      </c>
      <c r="J184" s="70">
        <f>IF(TRIM(I184)="",0,LEN(I184)-LEN(SUBSTITUTE(I184,";",""))+1)</f>
        <v/>
      </c>
      <c r="K184" s="70" t="inlineStr">
        <is>
          <t>Corrigido 2026-10-15</t>
        </is>
      </c>
      <c r="L184" s="70">
        <f>ROUND(IF(H184="Sim",MIN(Legenda!$C$12,MIN(10,IF(E184="Sim",Legenda!$C$4,IF(E184="Parcial",Legenda!$C$5,0))+IF(F184="Sim",Legenda!$C$6,IF(F184="Parcial",Legenda!$C$7,0))+IF(G184="otool + Ghidra",Legenda!$C$8,IF(OR(G184="otool",G184="Ghidra",G184="Outro binário"),Legenda!$C$9,0))+MIN(Legenda!$C$11,MAX(0,J184-1)*Legenda!$C$10))),IF(H184="Parcial",MIN(Legenda!$C$13,MIN(10,IF(E184="Sim",Legenda!$C$4,IF(E184="Parcial",Legenda!$C$5,0))+IF(F184="Sim",Legenda!$C$6,IF(F184="Parcial",Legenda!$C$7,0))+IF(G184="otool + Ghidra",Legenda!$C$8,IF(OR(G184="otool",G184="Ghidra",G184="Outro binário"),Legenda!$C$9,0))+MIN(Legenda!$C$11,MAX(0,J184-1)*Legenda!$C$10))),MIN(10,IF(E184="Sim",Legenda!$C$4,IF(E184="Parcial",Legenda!$C$5,0))+IF(F184="Sim",Legenda!$C$6,IF(F184="Parcial",Legenda!$C$7,0))+IF(G184="otool + Ghidra",Legenda!$C$8,IF(OR(G184="otool",G184="Ghidra",G184="Outro binário"),Legenda!$C$9,0))+MIN(Legenda!$C$11,MAX(0,J184-1)*Legenda!$C$10)))),1)</f>
        <v/>
      </c>
      <c r="M184" s="70" t="inlineStr">
        <is>
          <t>A1-ghidra/Q-MI-ac3.md; R51</t>
        </is>
      </c>
      <c r="N184" s="70" t="inlineStr">
        <is>
          <t>—</t>
        </is>
      </c>
      <c r="O184" s="70" t="inlineStr">
        <is>
          <t>Q12 corrigido (endereços e slots obsoletos). Posição do dado AC3 no buffer e modo de transmissão S/PDIF só no teste integrado.</t>
        </is>
      </c>
      <c r="P184" s="70">
        <f>LEFT(A184,FIND(".",A184&amp;".")-1)</f>
        <v/>
      </c>
    </row>
    <row r="185" s="21">
      <c r="A185" s="70" t="inlineStr">
        <is>
          <t>A2-P12.1</t>
        </is>
      </c>
      <c r="B185" s="70" t="inlineStr">
        <is>
          <t>A2</t>
        </is>
      </c>
      <c r="C185" s="70" t="inlineStr">
        <is>
          <t>Painel v1.9: layout, dependências e comportamento (telas e declarações do usuário)</t>
        </is>
      </c>
      <c r="D185" s="70" t="inlineStr">
        <is>
          <t>Abas mixer/output/hardware/about, barra lateral (settings, level controller, main output), modos de visualização, folha A/B; ctrl = atribuição do encoder; link/balanço; ícone de cadeado + caixa verde/vermelha = sincronismo; aux do output = aux out bus; buffer size só no CoreAudio; manual desatualizado (aux funciona em todas as taxas).</t>
        </is>
      </c>
      <c r="E185" s="70" t="inlineStr">
        <is>
          <t>Não</t>
        </is>
      </c>
      <c r="F185" s="70" t="inlineStr">
        <is>
          <t>Sim</t>
        </is>
      </c>
      <c r="G185" s="70" t="inlineStr">
        <is>
          <t>Nenhum</t>
        </is>
      </c>
      <c r="H185" s="70" t="inlineStr">
        <is>
          <t>Não</t>
        </is>
      </c>
      <c r="I185" s="70" t="inlineStr">
        <is>
          <t>telas do usuário (v1.9, Mac SL); declarações do usuário 2026-10-15/16; manual-reference.md</t>
        </is>
      </c>
      <c r="J185" s="70">
        <f>IF(TRIM(I185)="",0,LEN(I185)-LEN(SUBSTITUTE(I185,";",""))+1)</f>
        <v/>
      </c>
      <c r="K185" s="70" t="inlineStr">
        <is>
          <t>Corrigido 2026-10-16</t>
        </is>
      </c>
      <c r="L185" s="70">
        <f>ROUND(IF(H185="Sim",MIN(Legenda!$C$12,MIN(10,IF(E185="Sim",Legenda!$C$4,IF(E185="Parcial",Legenda!$C$5,0))+IF(F185="Sim",Legenda!$C$6,IF(F185="Parcial",Legenda!$C$7,0))+IF(G185="otool + Ghidra",Legenda!$C$8,IF(OR(G185="otool",G185="Ghidra",G185="Outro binário"),Legenda!$C$9,0))+MIN(Legenda!$C$11,MAX(0,J185-1)*Legenda!$C$10))),IF(H185="Parcial",MIN(Legenda!$C$13,MIN(10,IF(E185="Sim",Legenda!$C$4,IF(E185="Parcial",Legenda!$C$5,0))+IF(F185="Sim",Legenda!$C$6,IF(F185="Parcial",Legenda!$C$7,0))+IF(G185="otool + Ghidra",Legenda!$C$8,IF(OR(G185="otool",G185="Ghidra",G185="Outro binário"),Legenda!$C$9,0))+MIN(Legenda!$C$11,MAX(0,J185-1)*Legenda!$C$10))),MIN(10,IF(E185="Sim",Legenda!$C$4,IF(E185="Parcial",Legenda!$C$5,0))+IF(F185="Sim",Legenda!$C$6,IF(F185="Parcial",Legenda!$C$7,0))+IF(G185="otool + Ghidra",Legenda!$C$8,IF(OR(G185="otool",G185="Ghidra",G185="Outro binário"),Legenda!$C$9,0))+MIN(Legenda!$C$11,MAX(0,J185-1)*Legenda!$C$10)))),1)</f>
        <v/>
      </c>
      <c r="M185" s="70" t="inlineStr">
        <is>
          <t>A2-panel/P12-panel-screens-v19.md; PN1-wireframe.html</t>
        </is>
      </c>
      <c r="N185" s="70" t="inlineStr">
        <is>
          <t>—</t>
        </is>
      </c>
      <c r="O185" s="70" t="inlineStr">
        <is>
          <t>Regra 'S/MUX acinzenta com saída S/PDIF' contradiz P5 (possível diferença de versão); sinalizada em P12. Ordem das entradas por par ainda inferida.</t>
        </is>
      </c>
      <c r="P185" s="70">
        <f>LEFT(A185,FIND(".",A185&amp;".")-1)</f>
        <v/>
      </c>
    </row>
    <row r="186" s="21">
      <c r="A186" s="70" t="inlineStr">
        <is>
          <t>A2-P12.2</t>
        </is>
      </c>
      <c r="B186" s="70" t="inlineStr">
        <is>
          <t>A2</t>
        </is>
      </c>
      <c r="C186" s="70" t="inlineStr">
        <is>
          <t>Comportamento por taxa: 88,2/96 kHz e 176,4/192 kHz (decisão de design do clone)</t>
        </is>
      </c>
      <c r="D186" s="70" t="inlineStr">
        <is>
          <t>192 kHz = 2 in/4 out só analógico, portas digitais desligadas (captura do Audio MIDI Setup); 88,2/96 kHz com ADAT = 4 canais por direção independente do bit S/MUX; o painel de referência não segue isso, o do clone segue o dispositivo; S/MUX automático em 88,2/96.</t>
        </is>
      </c>
      <c r="E186" s="70" t="inlineStr">
        <is>
          <t>Parcial</t>
        </is>
      </c>
      <c r="F186" s="70" t="inlineStr">
        <is>
          <t>Sim</t>
        </is>
      </c>
      <c r="G186" s="70" t="inlineStr">
        <is>
          <t>otool + Ghidra</t>
        </is>
      </c>
      <c r="H186" s="70" t="inlineStr">
        <is>
          <t>Não</t>
        </is>
      </c>
      <c r="I186" s="70" t="inlineStr">
        <is>
          <t>captura Audio MIDI Setup 2026-10-16 (192 kHz); FWRates.h (tabelas do binário @0x363c0/0x364a0/0x36580/0x4ab80); declarações do usuário</t>
        </is>
      </c>
      <c r="J186" s="70">
        <f>IF(TRIM(I186)="",0,LEN(I186)-LEN(SUBSTITUTE(I186,";",""))+1)</f>
        <v/>
      </c>
      <c r="K186" s="70" t="inlineStr">
        <is>
          <t>Corrigido 2026-10-16</t>
        </is>
      </c>
      <c r="L186" s="70">
        <f>ROUND(IF(H186="Sim",MIN(Legenda!$C$12,MIN(10,IF(E186="Sim",Legenda!$C$4,IF(E186="Parcial",Legenda!$C$5,0))+IF(F186="Sim",Legenda!$C$6,IF(F186="Parcial",Legenda!$C$7,0))+IF(G186="otool + Ghidra",Legenda!$C$8,IF(OR(G186="otool",G186="Ghidra",G186="Outro binário"),Legenda!$C$9,0))+MIN(Legenda!$C$11,MAX(0,J186-1)*Legenda!$C$10))),IF(H186="Parcial",MIN(Legenda!$C$13,MIN(10,IF(E186="Sim",Legenda!$C$4,IF(E186="Parcial",Legenda!$C$5,0))+IF(F186="Sim",Legenda!$C$6,IF(F186="Parcial",Legenda!$C$7,0))+IF(G186="otool + Ghidra",Legenda!$C$8,IF(OR(G186="otool",G186="Ghidra",G186="Outro binário"),Legenda!$C$9,0))+MIN(Legenda!$C$11,MAX(0,J186-1)*Legenda!$C$10))),MIN(10,IF(E186="Sim",Legenda!$C$4,IF(E186="Parcial",Legenda!$C$5,0))+IF(F186="Sim",Legenda!$C$6,IF(F186="Parcial",Legenda!$C$7,0))+IF(G186="otool + Ghidra",Legenda!$C$8,IF(OR(G186="otool",G186="Ghidra",G186="Outro binário"),Legenda!$C$9,0))+MIN(Legenda!$C$11,MAX(0,J186-1)*Legenda!$C$10)))),1)</f>
        <v/>
      </c>
      <c r="M186" s="70" t="inlineStr">
        <is>
          <t>A2-panel/P12-panel-screens-v19.md; kext/src/FWRates.h; ChannelLayout.swift</t>
        </is>
      </c>
      <c r="N186" s="70" t="inlineStr">
        <is>
          <t>—</t>
        </is>
      </c>
      <c r="O186" s="70" t="inlineStr">
        <is>
          <t>Comportamento de sync externo-digital a 192 kHz inferido (acinzentado).</t>
        </is>
      </c>
      <c r="P186" s="70">
        <f>LEFT(A186,FIND(".",A186&amp;".")-1)</f>
        <v/>
      </c>
    </row>
    <row r="187" s="21">
      <c r="A187" s="70" t="inlineStr">
        <is>
          <t>A2-P13.1</t>
        </is>
      </c>
      <c r="B187" s="70" t="inlineStr">
        <is>
          <t>A2</t>
        </is>
      </c>
      <c r="C187" s="70" t="inlineStr">
        <is>
          <t>Tradutor do painel: numeração de canais/pares (1-based) e mapa de índices</t>
        </is>
      </c>
      <c r="D187" s="70" t="inlineStr">
        <is>
          <t>Entrada 1..18 / SW return 1..14 (id mixer 1..32); saída 1..14, fones 15..18, aux 19..20 (id 1..20); pares de saída 1..10 (8 = fones 1, 9 = fones 2, 10 = aux); par p = canais 2p-1, 2p. Vtable do CX1814Device (18/32/20/4 canais).</t>
        </is>
      </c>
      <c r="E187" s="70" t="inlineStr">
        <is>
          <t>Sim</t>
        </is>
      </c>
      <c r="F187" s="70" t="inlineStr">
        <is>
          <t>Não</t>
        </is>
      </c>
      <c r="G187" s="70" t="inlineStr">
        <is>
          <t>Ghidra</t>
        </is>
      </c>
      <c r="H187" s="70" t="inlineStr">
        <is>
          <t>Não</t>
        </is>
      </c>
      <c r="I187" s="70" t="inlineStr">
        <is>
          <t>decompile CXDevice::Choose* @0x6dc08..0x6de56; vtable CX1814Device @0x1ccd98; CFW1814DeviceSettings::Map* @0x5c47c..; classes.md</t>
        </is>
      </c>
      <c r="J187" s="70">
        <f>IF(TRIM(I187)="",0,LEN(I187)-LEN(SUBSTITUTE(I187,";",""))+1)</f>
        <v/>
      </c>
      <c r="K187" s="70" t="inlineStr">
        <is>
          <t>Corrigido 2026-10-16</t>
        </is>
      </c>
      <c r="L187" s="70">
        <f>ROUND(IF(H187="Sim",MIN(Legenda!$C$12,MIN(10,IF(E187="Sim",Legenda!$C$4,IF(E187="Parcial",Legenda!$C$5,0))+IF(F187="Sim",Legenda!$C$6,IF(F187="Parcial",Legenda!$C$7,0))+IF(G187="otool + Ghidra",Legenda!$C$8,IF(OR(G187="otool",G187="Ghidra",G187="Outro binário"),Legenda!$C$9,0))+MIN(Legenda!$C$11,MAX(0,J187-1)*Legenda!$C$10))),IF(H187="Parcial",MIN(Legenda!$C$13,MIN(10,IF(E187="Sim",Legenda!$C$4,IF(E187="Parcial",Legenda!$C$5,0))+IF(F187="Sim",Legenda!$C$6,IF(F187="Parcial",Legenda!$C$7,0))+IF(G187="otool + Ghidra",Legenda!$C$8,IF(OR(G187="otool",G187="Ghidra",G187="Outro binário"),Legenda!$C$9,0))+MIN(Legenda!$C$11,MAX(0,J187-1)*Legenda!$C$10))),MIN(10,IF(E187="Sim",Legenda!$C$4,IF(E187="Parcial",Legenda!$C$5,0))+IF(F187="Sim",Legenda!$C$6,IF(F187="Parcial",Legenda!$C$7,0))+IF(G187="otool + Ghidra",Legenda!$C$8,IF(OR(G187="otool",G187="Ghidra",G187="Outro binário"),Legenda!$C$9,0))+MIN(Legenda!$C$11,MAX(0,J187-1)*Legenda!$C$10)))),1)</f>
        <v/>
      </c>
      <c r="M187" s="70" t="inlineStr">
        <is>
          <t>A2-panel/P13-translator-index-map.md §1; PROVENANCE-RESOLUTIONS R53</t>
        </is>
      </c>
      <c r="N187" s="70" t="inlineStr">
        <is>
          <t>—</t>
        </is>
      </c>
      <c r="O187" s="70" t="inlineStr">
        <is>
          <t>Grupos do kext clone são &lt;4&gt; (clamp para o canal 0 acima disso); controles visíveis só usam pares 1-2.</t>
        </is>
      </c>
      <c r="P187" s="70">
        <f>LEFT(A187,FIND(".",A187&amp;".")-1)</f>
        <v/>
      </c>
    </row>
    <row r="188" s="21">
      <c r="A188" s="70" t="inlineStr">
        <is>
          <t>A2-P13.2</t>
        </is>
      </c>
      <c r="B188" s="70" t="inlineStr">
        <is>
          <t>A2</t>
        </is>
      </c>
      <c r="C188" s="70" t="inlineStr">
        <is>
          <t>Máscara do encoder MARotaryControlV2 e os 5 presets</t>
        </is>
      </c>
      <c r="D188" s="70" t="inlineStr">
        <is>
          <t>bits 0-15 pares de SW return, 16-31 entradas, 32-47 saídas, bit 50 aux out, bits 56-57 fones; tabela de presets lida do binário (0xFFFF, 0xFFFF00000000, 0xFFFF0000, 0x03&lt;&lt;56, 0x04&lt;&lt;48); default 0xFFFF00000000; ctrl = bit a bit (cookies 0x5ed/0x5f7).</t>
        </is>
      </c>
      <c r="E188" s="70" t="inlineStr">
        <is>
          <t>Sim</t>
        </is>
      </c>
      <c r="F188" s="70" t="inlineStr">
        <is>
          <t>Não</t>
        </is>
      </c>
      <c r="G188" s="70" t="inlineStr">
        <is>
          <t>Ghidra</t>
        </is>
      </c>
      <c r="H188" s="70" t="inlineStr">
        <is>
          <t>Parcial</t>
        </is>
      </c>
      <c r="I188" s="70" t="inlineStr">
        <is>
          <t>decompile ReceiveRotaryControlAssignments @0x713d8; ChooseRotaryPairPhaseAndBitIndex @0x6fc64; SetHWSetting 0x5e5; dump de memória 8CXDevice+0x10; Q-MAMAP linha 30</t>
        </is>
      </c>
      <c r="J188" s="70">
        <f>IF(TRIM(I188)="",0,LEN(I188)-LEN(SUBSTITUTE(I188,";",""))+1)</f>
        <v/>
      </c>
      <c r="K188" s="70" t="inlineStr">
        <is>
          <t>Corrigido 2026-10-16</t>
        </is>
      </c>
      <c r="L188" s="70">
        <f>ROUND(IF(H188="Sim",MIN(Legenda!$C$12,MIN(10,IF(E188="Sim",Legenda!$C$4,IF(E188="Parcial",Legenda!$C$5,0))+IF(F188="Sim",Legenda!$C$6,IF(F188="Parcial",Legenda!$C$7,0))+IF(G188="otool + Ghidra",Legenda!$C$8,IF(OR(G188="otool",G188="Ghidra",G188="Outro binário"),Legenda!$C$9,0))+MIN(Legenda!$C$11,MAX(0,J188-1)*Legenda!$C$10))),IF(H188="Parcial",MIN(Legenda!$C$13,MIN(10,IF(E188="Sim",Legenda!$C$4,IF(E188="Parcial",Legenda!$C$5,0))+IF(F188="Sim",Legenda!$C$6,IF(F188="Parcial",Legenda!$C$7,0))+IF(G188="otool + Ghidra",Legenda!$C$8,IF(OR(G188="otool",G188="Ghidra",G188="Outro binário"),Legenda!$C$9,0))+MIN(Legenda!$C$11,MAX(0,J188-1)*Legenda!$C$10))),MIN(10,IF(E188="Sim",Legenda!$C$4,IF(E188="Parcial",Legenda!$C$5,0))+IF(F188="Sim",Legenda!$C$6,IF(F188="Parcial",Legenda!$C$7,0))+IF(G188="otool + Ghidra",Legenda!$C$8,IF(OR(G188="otool",G188="Ghidra",G188="Outro binário"),Legenda!$C$9,0))+MIN(Legenda!$C$11,MAX(0,J188-1)*Legenda!$C$10)))),1)</f>
        <v/>
      </c>
      <c r="M188" s="70" t="inlineStr">
        <is>
          <t>A2-panel/P13-translator-index-map.md §2</t>
        </is>
      </c>
      <c r="N188" s="70" t="inlineStr">
        <is>
          <t>—</t>
        </is>
      </c>
      <c r="O188" s="70" t="inlineStr">
        <is>
          <t>Mapeamento rádios da barra lateral -&gt; presets (aux send = preset 5) inferido; caminho do ctrl da faixa aux (bit 50) não encontrado.</t>
        </is>
      </c>
      <c r="P188" s="70">
        <f>LEFT(A188,FIND(".",A188&amp;".")-1)</f>
        <v/>
      </c>
    </row>
    <row r="189" s="21">
      <c r="A189" s="70" t="inlineStr">
        <is>
          <t>A2-P13.3</t>
        </is>
      </c>
      <c r="B189" s="70" t="inlineStr">
        <is>
          <t>A2</t>
        </is>
      </c>
      <c r="C189" s="70" t="inlineStr">
        <is>
          <t>Faixas e escalas do painel: níveis, pan, balanço, medidores</t>
        </is>
      </c>
      <c r="D189" s="70" t="inlineStr">
        <is>
          <t>Níveis -129..0 em passos de 0,5 dB; pan -255..+255 com exibição x0,5 (L127/R127); picos -64..0 dB; o painel limita em -129, o kext em -255.</t>
        </is>
      </c>
      <c r="E189" s="70" t="inlineStr">
        <is>
          <t>Sim</t>
        </is>
      </c>
      <c r="F189" s="70" t="inlineStr">
        <is>
          <t>Não</t>
        </is>
      </c>
      <c r="G189" s="70" t="inlineStr">
        <is>
          <t>Ghidra</t>
        </is>
      </c>
      <c r="H189" s="70" t="inlineStr">
        <is>
          <t>Não</t>
        </is>
      </c>
      <c r="I189" s="70" t="inlineStr">
        <is>
          <t>decompile CXDevice::GetHWSettingRange @0x6e200; CFW1814DeviceSettings ctor/GetSettingRangeData; telas do usuário (L127/R127)</t>
        </is>
      </c>
      <c r="J189" s="70">
        <f>IF(TRIM(I189)="",0,LEN(I189)-LEN(SUBSTITUTE(I189,";",""))+1)</f>
        <v/>
      </c>
      <c r="K189" s="70" t="inlineStr">
        <is>
          <t>Corrigido 2026-10-16</t>
        </is>
      </c>
      <c r="L189" s="70">
        <f>ROUND(IF(H189="Sim",MIN(Legenda!$C$12,MIN(10,IF(E189="Sim",Legenda!$C$4,IF(E189="Parcial",Legenda!$C$5,0))+IF(F189="Sim",Legenda!$C$6,IF(F189="Parcial",Legenda!$C$7,0))+IF(G189="otool + Ghidra",Legenda!$C$8,IF(OR(G189="otool",G189="Ghidra",G189="Outro binário"),Legenda!$C$9,0))+MIN(Legenda!$C$11,MAX(0,J189-1)*Legenda!$C$10))),IF(H189="Parcial",MIN(Legenda!$C$13,MIN(10,IF(E189="Sim",Legenda!$C$4,IF(E189="Parcial",Legenda!$C$5,0))+IF(F189="Sim",Legenda!$C$6,IF(F189="Parcial",Legenda!$C$7,0))+IF(G189="otool + Ghidra",Legenda!$C$8,IF(OR(G189="otool",G189="Ghidra",G189="Outro binário"),Legenda!$C$9,0))+MIN(Legenda!$C$11,MAX(0,J189-1)*Legenda!$C$10))),MIN(10,IF(E189="Sim",Legenda!$C$4,IF(E189="Parcial",Legenda!$C$5,0))+IF(F189="Sim",Legenda!$C$6,IF(F189="Parcial",Legenda!$C$7,0))+IF(G189="otool + Ghidra",Legenda!$C$8,IF(OR(G189="otool",G189="Ghidra",G189="Outro binário"),Legenda!$C$9,0))+MIN(Legenda!$C$11,MAX(0,J189-1)*Legenda!$C$10)))),1)</f>
        <v/>
      </c>
      <c r="M189" s="70" t="inlineStr">
        <is>
          <t>A2-panel/P13-translator-index-map.md §3</t>
        </is>
      </c>
      <c r="N189" s="70" t="inlineStr">
        <is>
          <t>—</t>
        </is>
      </c>
      <c r="O189" s="70" t="inlineStr">
        <is>
          <t>Ordem de bytes do half-word de MAInputPan2 no fio continua não verificada.</t>
        </is>
      </c>
      <c r="P189" s="70">
        <f>LEFT(A189,FIND(".",A189&amp;".")-1)</f>
        <v/>
      </c>
    </row>
    <row r="190" s="21">
      <c r="A190" s="70" t="inlineStr">
        <is>
          <t>A2-P13.4</t>
        </is>
      </c>
      <c r="B190" s="70" t="inlineStr">
        <is>
          <t>A2</t>
        </is>
      </c>
      <c r="C190" s="70" t="inlineStr">
        <is>
          <t>Cookies de fones e chave A/B: 0x5fd, 0x609, 0x608 (corrige P5 e P11)</t>
        </is>
      </c>
      <c r="D190" s="70" t="inlineStr">
        <is>
          <t>Fones 1 = par de saída 8 -&gt; MAHeadphoneSourceV2, fones 2 = par 9 -&gt; MAHeadphoneSecondSource, máscara 1/2/4; cookie 0x609 escreve MAMomentarySwitchRoutings (array de 3 máscaras); cookie 0x608 -&gt; MAMomentarySwitchSource (valor 3 = monitoração direta), não MAMonitorAuxOnOutput.</t>
        </is>
      </c>
      <c r="E190" s="70" t="inlineStr">
        <is>
          <t>Sim</t>
        </is>
      </c>
      <c r="F190" s="70" t="inlineStr">
        <is>
          <t>Não</t>
        </is>
      </c>
      <c r="G190" s="70" t="inlineStr">
        <is>
          <t>Ghidra</t>
        </is>
      </c>
      <c r="H190" s="70" t="inlineStr">
        <is>
          <t>Parcial</t>
        </is>
      </c>
      <c r="I190" s="70" t="inlineStr">
        <is>
          <t>decompile CXSelectorHPDevice::SetHWSetting @0x73906 / SetHWIndexedSetting @0x73c64; CX1814Device::Translate.. @0x72e8e; clone FWSettings.cpp:335-417</t>
        </is>
      </c>
      <c r="J190" s="70">
        <f>IF(TRIM(I190)="",0,LEN(I190)-LEN(SUBSTITUTE(I190,";",""))+1)</f>
        <v/>
      </c>
      <c r="K190" s="70" t="inlineStr">
        <is>
          <t>Corrigido 2026-10-16</t>
        </is>
      </c>
      <c r="L190" s="70">
        <f>ROUND(IF(H190="Sim",MIN(Legenda!$C$12,MIN(10,IF(E190="Sim",Legenda!$C$4,IF(E190="Parcial",Legenda!$C$5,0))+IF(F190="Sim",Legenda!$C$6,IF(F190="Parcial",Legenda!$C$7,0))+IF(G190="otool + Ghidra",Legenda!$C$8,IF(OR(G190="otool",G190="Ghidra",G190="Outro binário"),Legenda!$C$9,0))+MIN(Legenda!$C$11,MAX(0,J190-1)*Legenda!$C$10))),IF(H190="Parcial",MIN(Legenda!$C$13,MIN(10,IF(E190="Sim",Legenda!$C$4,IF(E190="Parcial",Legenda!$C$5,0))+IF(F190="Sim",Legenda!$C$6,IF(F190="Parcial",Legenda!$C$7,0))+IF(G190="otool + Ghidra",Legenda!$C$8,IF(OR(G190="otool",G190="Ghidra",G190="Outro binário"),Legenda!$C$9,0))+MIN(Legenda!$C$11,MAX(0,J190-1)*Legenda!$C$10))),MIN(10,IF(E190="Sim",Legenda!$C$4,IF(E190="Parcial",Legenda!$C$5,0))+IF(F190="Sim",Legenda!$C$6,IF(F190="Parcial",Legenda!$C$7,0))+IF(G190="otool + Ghidra",Legenda!$C$8,IF(OR(G190="otool",G190="Ghidra",G190="Outro binário"),Legenda!$C$9,0))+MIN(Legenda!$C$11,MAX(0,J190-1)*Legenda!$C$10)))),1)</f>
        <v/>
      </c>
      <c r="M190" s="70" t="inlineStr">
        <is>
          <t>A2-panel/P13-translator-index-map.md §5; P5/P11 (blocos de correção)</t>
        </is>
      </c>
      <c r="N190" s="70" t="inlineStr">
        <is>
          <t>—</t>
        </is>
      </c>
      <c r="O190" s="70" t="inlineStr">
        <is>
          <t>Índice de modo do kernel de cada uma das 3 entradas de routings e rádio -&gt; valor (1/3) não verificados.</t>
        </is>
      </c>
      <c r="P190" s="70">
        <f>LEFT(A190,FIND(".",A190&amp;".")-1)</f>
        <v/>
      </c>
    </row>
    <row r="191" s="21">
      <c r="A191" s="70" t="inlineStr">
        <is>
          <t>A2-P13.5</t>
        </is>
      </c>
      <c r="B191" s="70" t="inlineStr">
        <is>
          <t>A2</t>
        </is>
      </c>
      <c r="C191" s="70" t="inlineStr">
        <is>
          <t>Mapa de slots de picos e conversão para dB</t>
        </is>
      </c>
      <c r="D191" s="70" t="inlineStr">
        <is>
          <t>entrada n -&gt; peak[n-1], saída n -&gt; peak[18+n-1], SW return k -&gt; peak[38+k-1]; dB = ceil(20*log10(raw*2^-15)), raw 0 = -64; constantes lidas do binário (0xf8b40 = 2^-15, 0xf8b48 = 20,0).</t>
        </is>
      </c>
      <c r="E191" s="70" t="inlineStr">
        <is>
          <t>Sim</t>
        </is>
      </c>
      <c r="F191" s="70" t="inlineStr">
        <is>
          <t>Não</t>
        </is>
      </c>
      <c r="G191" s="70" t="inlineStr">
        <is>
          <t>Ghidra</t>
        </is>
      </c>
      <c r="H191" s="70" t="inlineStr">
        <is>
          <t>Não</t>
        </is>
      </c>
      <c r="I191" s="70" t="inlineStr">
        <is>
          <t>decompile CMixerView/COutputView::Update*PeakLevels; CXDevice::GetHWSetting 0x5e9/0x5f3; dump de memória @0xf8b40</t>
        </is>
      </c>
      <c r="J191" s="70">
        <f>IF(TRIM(I191)="",0,LEN(I191)-LEN(SUBSTITUTE(I191,";",""))+1)</f>
        <v/>
      </c>
      <c r="K191" s="70" t="inlineStr">
        <is>
          <t>Corrigido 2026-10-16</t>
        </is>
      </c>
      <c r="L191" s="70">
        <f>ROUND(IF(H191="Sim",MIN(Legenda!$C$12,MIN(10,IF(E191="Sim",Legenda!$C$4,IF(E191="Parcial",Legenda!$C$5,0))+IF(F191="Sim",Legenda!$C$6,IF(F191="Parcial",Legenda!$C$7,0))+IF(G191="otool + Ghidra",Legenda!$C$8,IF(OR(G191="otool",G191="Ghidra",G191="Outro binário"),Legenda!$C$9,0))+MIN(Legenda!$C$11,MAX(0,J191-1)*Legenda!$C$10))),IF(H191="Parcial",MIN(Legenda!$C$13,MIN(10,IF(E191="Sim",Legenda!$C$4,IF(E191="Parcial",Legenda!$C$5,0))+IF(F191="Sim",Legenda!$C$6,IF(F191="Parcial",Legenda!$C$7,0))+IF(G191="otool + Ghidra",Legenda!$C$8,IF(OR(G191="otool",G191="Ghidra",G191="Outro binário"),Legenda!$C$9,0))+MIN(Legenda!$C$11,MAX(0,J191-1)*Legenda!$C$10))),MIN(10,IF(E191="Sim",Legenda!$C$4,IF(E191="Parcial",Legenda!$C$5,0))+IF(F191="Sim",Legenda!$C$6,IF(F191="Parcial",Legenda!$C$7,0))+IF(G191="otool + Ghidra",Legenda!$C$8,IF(OR(G191="otool",G191="Ghidra",G191="Outro binário"),Legenda!$C$9,0))+MIN(Legenda!$C$11,MAX(0,J191-1)*Legenda!$C$10)))),1)</f>
        <v/>
      </c>
      <c r="M191" s="70" t="inlineStr">
        <is>
          <t>A2-panel/P13-translator-index-map.md §6, §6a; P9 (correção)</t>
        </is>
      </c>
      <c r="N191" s="70" t="inlineStr">
        <is>
          <t>—</t>
        </is>
      </c>
      <c r="O191" s="70" t="inlineStr">
        <is>
          <t>Atribuição par-&gt;faixa depende dos layouts PPob 3051-3054 (hex bruto, não decodificado).</t>
        </is>
      </c>
      <c r="P191" s="70">
        <f>LEFT(A191,FIND(".",A191&amp;".")-1)</f>
        <v/>
      </c>
    </row>
    <row r="192" s="21">
      <c r="A192" s="70" t="inlineStr">
        <is>
          <t>A2-P13.6</t>
        </is>
      </c>
      <c r="B192" s="70" t="inlineStr">
        <is>
          <t>A2</t>
        </is>
      </c>
      <c r="C192" s="70" t="inlineStr">
        <is>
          <t>Regra de balanço, máscaras de roteamento e aba About</t>
        </is>
      </c>
      <c r="D192" s="70" t="inlineStr">
        <is>
          <t>Balanço derivado das duas leituras de nível (sem chave): o canal mais alto mantém o nível, o outro cai |balanço|; máscara de roteamento bit i = destino i; About: bootloader/firmware/hardware/GUID a partir de MAFirmwareInfo (offsets 0x18/0x1C/0x20/0x28/0x40/0x48/0x10), links m-audio.com.</t>
        </is>
      </c>
      <c r="E192" s="70" t="inlineStr">
        <is>
          <t>Sim</t>
        </is>
      </c>
      <c r="F192" s="70" t="inlineStr">
        <is>
          <t>Não</t>
        </is>
      </c>
      <c r="G192" s="70" t="inlineStr">
        <is>
          <t>Ghidra</t>
        </is>
      </c>
      <c r="H192" s="70" t="inlineStr">
        <is>
          <t>Parcial</t>
        </is>
      </c>
      <c r="I192" s="70" t="inlineStr">
        <is>
          <t>decompile CFW1814DeviceSettings::SetSettingData @0x59836; CXDevice::SetHWIndexedSetting 0x5f1; CAboutView::AdaptUIElementsToSettings @0xcda5a; panel-rsrc.txt; Q-P3 §3</t>
        </is>
      </c>
      <c r="J192" s="70">
        <f>IF(TRIM(I192)="",0,LEN(I192)-LEN(SUBSTITUTE(I192,";",""))+1)</f>
        <v/>
      </c>
      <c r="K192" s="70" t="inlineStr">
        <is>
          <t>Corrigido 2026-10-16</t>
        </is>
      </c>
      <c r="L192" s="70">
        <f>ROUND(IF(H192="Sim",MIN(Legenda!$C$12,MIN(10,IF(E192="Sim",Legenda!$C$4,IF(E192="Parcial",Legenda!$C$5,0))+IF(F192="Sim",Legenda!$C$6,IF(F192="Parcial",Legenda!$C$7,0))+IF(G192="otool + Ghidra",Legenda!$C$8,IF(OR(G192="otool",G192="Ghidra",G192="Outro binário"),Legenda!$C$9,0))+MIN(Legenda!$C$11,MAX(0,J192-1)*Legenda!$C$10))),IF(H192="Parcial",MIN(Legenda!$C$13,MIN(10,IF(E192="Sim",Legenda!$C$4,IF(E192="Parcial",Legenda!$C$5,0))+IF(F192="Sim",Legenda!$C$6,IF(F192="Parcial",Legenda!$C$7,0))+IF(G192="otool + Ghidra",Legenda!$C$8,IF(OR(G192="otool",G192="Ghidra",G192="Outro binário"),Legenda!$C$9,0))+MIN(Legenda!$C$11,MAX(0,J192-1)*Legenda!$C$10))),MIN(10,IF(E192="Sim",Legenda!$C$4,IF(E192="Parcial",Legenda!$C$5,0))+IF(F192="Sim",Legenda!$C$6,IF(F192="Parcial",Legenda!$C$7,0))+IF(G192="otool + Ghidra",Legenda!$C$8,IF(OR(G192="otool",G192="Ghidra",G192="Outro binário"),Legenda!$C$9,0))+MIN(Legenda!$C$11,MAX(0,J192-1)*Legenda!$C$10)))),1)</f>
        <v/>
      </c>
      <c r="M192" s="70" t="inlineStr">
        <is>
          <t>A2-panel/P13-translator-index-map.md §6a</t>
        </is>
      </c>
      <c r="N192" s="70" t="inlineStr">
        <is>
          <t>—</t>
        </is>
      </c>
      <c r="O192" s="70" t="inlineStr">
        <is>
          <t>Ordem de bytes do bloco de info e botão -&gt; URL não verificados.</t>
        </is>
      </c>
      <c r="P192" s="70">
        <f>LEFT(A192,FIND(".",A192&amp;".")-1)</f>
        <v/>
      </c>
    </row>
    <row r="193" s="21">
      <c r="A193" s="70" t="inlineStr">
        <is>
          <t>A2-PN2.1</t>
        </is>
      </c>
      <c r="B193" s="70" t="inlineStr">
        <is>
          <t>A2</t>
        </is>
      </c>
      <c r="C193" s="70" t="inlineStr">
        <is>
          <t>Mapa controle -&gt; chave MA* do painel (catálogo de 54 chaves)</t>
        </is>
      </c>
      <c r="D193" s="70" t="inlineStr">
        <is>
          <t>Cada controle do wireframe aprovado ligado a uma chave, codificação e fonte; catálogo tipado em MaKeys.swift; o número 46 usado antes não se reproduz (54 chaves: 42 do painel + 9 descritores + 3 de firmware).</t>
        </is>
      </c>
      <c r="E193" s="70" t="inlineStr">
        <is>
          <t>Sim</t>
        </is>
      </c>
      <c r="F193" s="70" t="inlineStr">
        <is>
          <t>Não</t>
        </is>
      </c>
      <c r="G193" s="70" t="inlineStr">
        <is>
          <t>Ghidra</t>
        </is>
      </c>
      <c r="H193" s="70" t="inlineStr">
        <is>
          <t>Parcial</t>
        </is>
      </c>
      <c r="I193" s="70" t="inlineStr">
        <is>
          <t>Q-MAMAP-key-crosswalk.md; P7-fup-translator.md; kext FWSettings/FWMixer</t>
        </is>
      </c>
      <c r="J193" s="70">
        <f>IF(TRIM(I193)="",0,LEN(I193)-LEN(SUBSTITUTE(I193,";",""))+1)</f>
        <v/>
      </c>
      <c r="K193" s="70" t="inlineStr">
        <is>
          <t>Corrigido 2026-10-16</t>
        </is>
      </c>
      <c r="L193" s="70">
        <f>ROUND(IF(H193="Sim",MIN(Legenda!$C$12,MIN(10,IF(E193="Sim",Legenda!$C$4,IF(E193="Parcial",Legenda!$C$5,0))+IF(F193="Sim",Legenda!$C$6,IF(F193="Parcial",Legenda!$C$7,0))+IF(G193="otool + Ghidra",Legenda!$C$8,IF(OR(G193="otool",G193="Ghidra",G193="Outro binário"),Legenda!$C$9,0))+MIN(Legenda!$C$11,MAX(0,J193-1)*Legenda!$C$10))),IF(H193="Parcial",MIN(Legenda!$C$13,MIN(10,IF(E193="Sim",Legenda!$C$4,IF(E193="Parcial",Legenda!$C$5,0))+IF(F193="Sim",Legenda!$C$6,IF(F193="Parcial",Legenda!$C$7,0))+IF(G193="otool + Ghidra",Legenda!$C$8,IF(OR(G193="otool",G193="Ghidra",G193="Outro binário"),Legenda!$C$9,0))+MIN(Legenda!$C$11,MAX(0,J193-1)*Legenda!$C$10))),MIN(10,IF(E193="Sim",Legenda!$C$4,IF(E193="Parcial",Legenda!$C$5,0))+IF(F193="Sim",Legenda!$C$6,IF(F193="Parcial",Legenda!$C$7,0))+IF(G193="otool + Ghidra",Legenda!$C$8,IF(OR(G193="otool",G193="Ghidra",G193="Outro binário"),Legenda!$C$9,0))+MIN(Legenda!$C$11,MAX(0,J193-1)*Legenda!$C$10)))),1)</f>
        <v/>
      </c>
      <c r="M193" s="70" t="inlineStr">
        <is>
          <t>A2-panel/PN2-control-key-map.md; openaudio-fw1814/control-panel/Sources/MaKeys.swift</t>
        </is>
      </c>
      <c r="N193" s="70" t="inlineStr">
        <is>
          <t>—</t>
        </is>
      </c>
      <c r="O193" s="70" t="inlineStr">
        <is>
          <t>Cinco itens menores abertos listados em P13 §7.</t>
        </is>
      </c>
      <c r="P193" s="70">
        <f>LEFT(A193,FIND(".",A193&amp;".")-1)</f>
        <v/>
      </c>
    </row>
    <row r="194" s="21">
      <c r="A194" s="70" t="inlineStr">
        <is>
          <t>A2-P14.1</t>
        </is>
      </c>
      <c r="B194" s="70" t="inlineStr">
        <is>
          <t>A2</t>
        </is>
      </c>
      <c r="C194" s="70" t="inlineStr">
        <is>
          <t>Painel clone: arquitetura e regras (estado derivado do dispositivo)</t>
        </is>
      </c>
      <c r="D194" s="70" t="inlineStr">
        <is>
          <t>Camadas ChannelLayout/DeviceModel/IOKitBridge/abas/barra lateral/presets; escrita em lote via IORegistryEntrySetCFProperties; testes de host (make test no build PC); fonte escrita e tipada, sem execução em hardware. Redesign 2026-10-16 (escuro minimalista, aprovado pelo usuário em modo demo): knob do encoder ligado, texto A/B ao vivo, janelas centralizadas, várias interfaces, foto na aba About.</t>
        </is>
      </c>
      <c r="E194" s="70" t="inlineStr">
        <is>
          <t>Não</t>
        </is>
      </c>
      <c r="F194" s="70" t="inlineStr">
        <is>
          <t>Não</t>
        </is>
      </c>
      <c r="G194" s="70" t="inlineStr">
        <is>
          <t>Nenhum</t>
        </is>
      </c>
      <c r="H194" s="70" t="inlineStr">
        <is>
          <t>Parcial</t>
        </is>
      </c>
      <c r="I194" s="70" t="inlineStr">
        <is>
          <t>P12; P13; PN2; FWRates.h; decisões do usuário 2026-10-16</t>
        </is>
      </c>
      <c r="J194" s="70">
        <f>IF(TRIM(I194)="",0,LEN(I194)-LEN(SUBSTITUTE(I194,";",""))+1)</f>
        <v/>
      </c>
      <c r="K194" s="70" t="inlineStr">
        <is>
          <t>Corrigido 2026-10-16</t>
        </is>
      </c>
      <c r="L194" s="70">
        <f>ROUND(IF(H194="Sim",MIN(Legenda!$C$12,MIN(10,IF(E194="Sim",Legenda!$C$4,IF(E194="Parcial",Legenda!$C$5,0))+IF(F194="Sim",Legenda!$C$6,IF(F194="Parcial",Legenda!$C$7,0))+IF(G194="otool + Ghidra",Legenda!$C$8,IF(OR(G194="otool",G194="Ghidra",G194="Outro binário"),Legenda!$C$9,0))+MIN(Legenda!$C$11,MAX(0,J194-1)*Legenda!$C$10))),IF(H194="Parcial",MIN(Legenda!$C$13,MIN(10,IF(E194="Sim",Legenda!$C$4,IF(E194="Parcial",Legenda!$C$5,0))+IF(F194="Sim",Legenda!$C$6,IF(F194="Parcial",Legenda!$C$7,0))+IF(G194="otool + Ghidra",Legenda!$C$8,IF(OR(G194="otool",G194="Ghidra",G194="Outro binário"),Legenda!$C$9,0))+MIN(Legenda!$C$11,MAX(0,J194-1)*Legenda!$C$10))),MIN(10,IF(E194="Sim",Legenda!$C$4,IF(E194="Parcial",Legenda!$C$5,0))+IF(F194="Sim",Legenda!$C$6,IF(F194="Parcial",Legenda!$C$7,0))+IF(G194="otool + Ghidra",Legenda!$C$8,IF(OR(G194="otool",G194="Ghidra",G194="Outro binário"),Legenda!$C$9,0))+MIN(Legenda!$C$11,MAX(0,J194-1)*Legenda!$C$10)))),1)</f>
        <v/>
      </c>
      <c r="M194" s="70" t="inlineStr">
        <is>
          <t>A2-panel/P14-clone-panel-design.md</t>
        </is>
      </c>
      <c r="N194" s="70" t="inlineStr">
        <is>
          <t>—</t>
        </is>
      </c>
      <c r="O194" s="70" t="inlineStr">
        <is>
          <t>Caminhos IOKit e escrita real não testados (teste integrado). Default de MAMomentarySwitchRoutings deixa a fonte B sem valor válido (P13 §5).</t>
        </is>
      </c>
      <c r="P194" s="70">
        <f>LEFT(A194,FIND(".",A194&amp;".")-1)</f>
        <v/>
      </c>
    </row>
    <row r="195" s="21">
      <c r="A195" s="70" t="inlineStr">
        <is>
          <t>A2-PN2.2</t>
        </is>
      </c>
      <c r="B195" s="70" t="inlineStr">
        <is>
          <t>A2</t>
        </is>
      </c>
      <c r="C195" s="70" t="inlineStr">
        <is>
          <t>MAMonitorAuxOnOutput tem 3 elementos no kext (não 10) — achado do script de conformidade</t>
        </is>
      </c>
      <c r="D195" s="70" t="inlineStr">
        <is>
          <t>FWSettingsAuxSend::Init(..., (Output.Count() &gt;&gt; 1) + 1) = 3: pares de saída 1, 2 e o par S/PDIF; o 10 era limite do tradutor do painel; catálogo do painel corrigido; MAMetaVirtualRotateDataKnob é propriedade-função.</t>
        </is>
      </c>
      <c r="E195" s="70" t="inlineStr">
        <is>
          <t>Sim</t>
        </is>
      </c>
      <c r="F195" s="70" t="inlineStr">
        <is>
          <t>Não</t>
        </is>
      </c>
      <c r="G195" s="70" t="inlineStr">
        <is>
          <t>Ghidra</t>
        </is>
      </c>
      <c r="H195" s="70" t="inlineStr">
        <is>
          <t>Não</t>
        </is>
      </c>
      <c r="I195" s="70" t="inlineStr">
        <is>
          <t>decompile FW1814Device::InitializeUserSettableProperties; clone FWMixer.cpp:28; scripts/conformance_check.py</t>
        </is>
      </c>
      <c r="J195" s="70">
        <f>IF(TRIM(I195)="",0,LEN(I195)-LEN(SUBSTITUTE(I195,";",""))+1)</f>
        <v/>
      </c>
      <c r="K195" s="70" t="inlineStr">
        <is>
          <t>Corrigido 2026-10-16</t>
        </is>
      </c>
      <c r="L195" s="70">
        <f>ROUND(IF(H195="Sim",MIN(Legenda!$C$12,MIN(10,IF(E195="Sim",Legenda!$C$4,IF(E195="Parcial",Legenda!$C$5,0))+IF(F195="Sim",Legenda!$C$6,IF(F195="Parcial",Legenda!$C$7,0))+IF(G195="otool + Ghidra",Legenda!$C$8,IF(OR(G195="otool",G195="Ghidra",G195="Outro binário"),Legenda!$C$9,0))+MIN(Legenda!$C$11,MAX(0,J195-1)*Legenda!$C$10))),IF(H195="Parcial",MIN(Legenda!$C$13,MIN(10,IF(E195="Sim",Legenda!$C$4,IF(E195="Parcial",Legenda!$C$5,0))+IF(F195="Sim",Legenda!$C$6,IF(F195="Parcial",Legenda!$C$7,0))+IF(G195="otool + Ghidra",Legenda!$C$8,IF(OR(G195="otool",G195="Ghidra",G195="Outro binário"),Legenda!$C$9,0))+MIN(Legenda!$C$11,MAX(0,J195-1)*Legenda!$C$10))),MIN(10,IF(E195="Sim",Legenda!$C$4,IF(E195="Parcial",Legenda!$C$5,0))+IF(F195="Sim",Legenda!$C$6,IF(F195="Parcial",Legenda!$C$7,0))+IF(G195="otool + Ghidra",Legenda!$C$8,IF(OR(G195="otool",G195="Ghidra",G195="Outro binário"),Legenda!$C$9,0))+MIN(Legenda!$C$11,MAX(0,J195-1)*Legenda!$C$10)))),1)</f>
        <v/>
      </c>
      <c r="M195" s="70" t="inlineStr">
        <is>
          <t>docs/CONFORMANCE.md; A2-panel/P13 §4 (correção); Q-MAMAP (correção)</t>
        </is>
      </c>
      <c r="N195" s="70" t="inlineStr">
        <is>
          <t>—</t>
        </is>
      </c>
      <c r="O195" s="70" t="inlineStr">
        <is>
          <t>Painel só escreve os pares 1-3.</t>
        </is>
      </c>
      <c r="P195" s="70">
        <f>LEFT(A195,FIND(".",A195&amp;".")-1)</f>
        <v/>
      </c>
    </row>
    <row r="196">
      <c r="A196" s="70" t="inlineStr">
        <is>
          <t>IN3.1</t>
        </is>
      </c>
      <c r="B196" s="70" t="inlineStr">
        <is>
          <t>IN</t>
        </is>
      </c>
      <c r="C196" s="70" t="inlineStr">
        <is>
          <t>1º teste integrado em hardware (10.13.6 + FW1814)</t>
        </is>
      </c>
      <c r="D196" s="70" t="inlineStr">
        <is>
          <t>Áudio de saída limpo, CoreAudio lista o aparelho, painel funciona no aparelho real; correções F1-F10; abertos O1-O4.</t>
        </is>
      </c>
      <c r="E196" s="70" t="inlineStr">
        <is>
          <t>Não</t>
        </is>
      </c>
      <c r="F196" s="70" t="inlineStr">
        <is>
          <t>Sim</t>
        </is>
      </c>
      <c r="G196" s="70" t="inlineStr">
        <is>
          <t>Nenhum</t>
        </is>
      </c>
      <c r="H196" s="70" t="inlineStr">
        <is>
          <t>Não</t>
        </is>
      </c>
      <c r="I196" s="70" t="inlineStr">
        <is>
          <t>dmesg; ioreg; maprop; system_profiler; panic report 2026-10-16</t>
        </is>
      </c>
      <c r="J196" s="70">
        <f>IF(TRIM(I196)="",0,LEN(I196)-LEN(SUBSTITUTE(I196,";",""))+1)</f>
        <v/>
      </c>
      <c r="K196" s="70" t="inlineStr">
        <is>
          <t>Corrigido 2026-10-16</t>
        </is>
      </c>
      <c r="L196" s="70">
        <f>ROUND(IF(H196="Sim",MIN(Legenda!$C$12,MIN(10,IF(E196="Sim",Legenda!$C$4,IF(E196="Parcial",Legenda!$C$5,0))+IF(F196="Sim",Legenda!$C$6,IF(F196="Parcial",Legenda!$C$7,0))+IF(G196="otool + Ghidra",Legenda!$C$8,IF(OR(G196="otool",G196="Ghidra",G196="Outro binário"),Legenda!$C$9,0))+MIN(Legenda!$C$11,MAX(0,J196-1)*Legenda!$C$10))),IF(H196="Parcial",MIN(Legenda!$C$13,MIN(10,IF(E196="Sim",Legenda!$C$4,IF(E196="Parcial",Legenda!$C$5,0))+IF(F196="Sim",Legenda!$C$6,IF(F196="Parcial",Legenda!$C$7,0))+IF(G196="otool + Ghidra",Legenda!$C$8,IF(OR(G196="otool",G196="Ghidra",G196="Outro binário"),Legenda!$C$9,0))+MIN(Legenda!$C$11,MAX(0,J196-1)*Legenda!$C$10))),MIN(10,IF(E196="Sim",Legenda!$C$4,IF(E196="Parcial",Legenda!$C$5,0))+IF(F196="Sim",Legenda!$C$6,IF(F196="Parcial",Legenda!$C$7,0))+IF(G196="otool + Ghidra",Legenda!$C$8,IF(OR(G196="otool",G196="Ghidra",G196="Outro binário"),Legenda!$C$9,0))+MIN(Legenda!$C$11,MAX(0,J196-1)*Legenda!$C$10)))),1)</f>
        <v/>
      </c>
      <c r="M196" s="70" t="inlineStr">
        <is>
          <t>build-pc-runs/2026-10-16-first-integrated-run.md; R55</t>
        </is>
      </c>
      <c r="N196" s="70" t="inlineStr">
        <is>
          <t>—</t>
        </is>
      </c>
      <c r="O196" s="70" t="inlineStr">
        <is>
          <t>O1 troca S/PDIF-&gt;ADAT em streaming; verificar F4/F7/F10.</t>
        </is>
      </c>
      <c r="P196" s="70">
        <f>LEFT(A196,FIND(".",A196&amp;".")-1)</f>
        <v/>
      </c>
    </row>
  </sheetData>
  <autoFilter ref="A1:O132"/>
  <conditionalFormatting sqref="L2:L132">
    <cfRule type="dataBar" priority="2">
      <dataBar minLength="10" maxLength="90" showValue="1">
        <cfvo type="num" val="0"/>
        <cfvo type="num" val="10"/>
        <color rgb="FF5B9BD5"/>
      </dataBar>
    </cfRule>
  </conditionalFormatting>
  <conditionalFormatting sqref="K2:K132">
    <cfRule type="cellIs" rank="0" priority="3" equalAverage="0" operator="equal" aboveAverage="0" dxfId="6" text="" percent="0" bottom="0">
      <formula>"Correção pendente (audit)"</formula>
    </cfRule>
    <cfRule type="cellIs" rank="0" priority="4" equalAverage="0" operator="equal" aboveAverage="0" dxfId="7" text="" percent="0" bottom="0">
      <formula>"Aberto / não resolvido"</formula>
    </cfRule>
    <cfRule type="cellIs" rank="0" priority="5" equalAverage="0" operator="equal" aboveAverage="0" dxfId="8" text="" percent="0" bottom="0">
      <formula>"Corrigido 2026-10-14"</formula>
    </cfRule>
  </conditionalFormatting>
  <conditionalFormatting sqref="H2:H132">
    <cfRule type="cellIs" rank="0" priority="6" equalAverage="0" operator="equal" aboveAverage="0" dxfId="7" text="" percent="0" bottom="0">
      <formula>"Sim"</formula>
    </cfRule>
  </conditionalFormatting>
  <conditionalFormatting sqref="L2:L500">
    <cfRule type="dataBar" priority="6">
      <dataBar>
        <cfvo type="num" val="0"/>
        <cfvo type="num" val="10"/>
        <color rgb="0063BE7B"/>
      </dataBar>
    </cfRule>
    <cfRule type="dataBar" priority="7">
      <dataBar>
        <cfvo type="num" val="0"/>
        <cfvo type="num" val="10"/>
        <color rgb="0063BE7B"/>
      </dataBar>
    </cfRule>
    <cfRule type="dataBar" priority="8">
      <dataBar>
        <cfvo type="num" val="0"/>
        <cfvo type="num" val="10"/>
        <color rgb="0063BE7B"/>
      </dataBar>
    </cfRule>
    <cfRule type="dataBar" priority="9">
      <dataBar>
        <cfvo type="num" val="0"/>
        <cfvo type="num" val="10"/>
        <color rgb="0063BE7B"/>
      </dataBar>
    </cfRule>
    <cfRule type="dataBar" priority="10">
      <dataBar>
        <cfvo type="num" val="0"/>
        <cfvo type="num" val="10"/>
        <color rgb="0063BE7B"/>
      </dataBar>
    </cfRule>
    <cfRule type="dataBar" priority="11">
      <dataBar>
        <cfvo type="num" val="0"/>
        <cfvo type="num" val="10"/>
        <color rgb="0063BE7B"/>
      </dataBar>
    </cfRule>
    <cfRule type="dataBar" priority="12">
      <dataBar>
        <cfvo type="num" val="0"/>
        <cfvo type="num" val="10"/>
        <color rgb="0063BE7B"/>
      </dataBar>
    </cfRule>
    <cfRule type="dataBar" priority="13">
      <dataBar>
        <cfvo type="num" val="0"/>
        <cfvo type="num" val="10"/>
        <color rgb="0063BE7B"/>
      </dataBar>
    </cfRule>
    <cfRule type="dataBar" priority="14">
      <dataBar>
        <cfvo type="num" val="0"/>
        <cfvo type="num" val="10"/>
        <color rgb="0063BE7B"/>
      </dataBar>
    </cfRule>
    <cfRule type="dataBar" priority="15">
      <dataBar>
        <cfvo type="num" val="0"/>
        <cfvo type="num" val="10"/>
        <color rgb="0063BE7B"/>
      </dataBar>
    </cfRule>
    <cfRule type="dataBar" priority="16">
      <dataBar>
        <cfvo type="num" val="0"/>
        <cfvo type="num" val="10"/>
        <color rgb="0063BE7B"/>
      </dataBar>
    </cfRule>
    <cfRule type="dataBar" priority="17">
      <dataBar>
        <cfvo type="num" val="0"/>
        <cfvo type="num" val="10"/>
        <color rgb="0063BE7B"/>
      </dataBar>
    </cfRule>
    <cfRule type="dataBar" priority="18">
      <dataBar>
        <cfvo type="num" val="0"/>
        <cfvo type="num" val="10"/>
        <color rgb="0063BE7B"/>
      </dataBar>
    </cfRule>
    <cfRule type="dataBar" priority="19">
      <dataBar>
        <cfvo type="num" val="0"/>
        <cfvo type="num" val="10"/>
        <color rgb="0063BE7B"/>
      </dataBar>
    </cfRule>
    <cfRule type="dataBar" priority="20">
      <dataBar>
        <cfvo type="num" val="0"/>
        <cfvo type="num" val="10"/>
        <color rgb="0063BE7B"/>
      </dataBar>
    </cfRule>
    <cfRule type="dataBar" priority="21">
      <dataBar>
        <cfvo type="num" val="0"/>
        <cfvo type="num" val="10"/>
        <color rgb="0063BE7B"/>
      </dataBar>
    </cfRule>
    <cfRule type="dataBar" priority="22">
      <dataBar>
        <cfvo type="num" val="0"/>
        <cfvo type="num" val="10"/>
        <color rgb="0063BE7B"/>
      </dataBar>
    </cfRule>
    <cfRule type="dataBar" priority="23">
      <dataBar>
        <cfvo type="num" val="0"/>
        <cfvo type="num" val="10"/>
        <color rgb="0063BE7B"/>
      </dataBar>
    </cfRule>
    <cfRule type="dataBar" priority="24">
      <dataBar>
        <cfvo type="num" val="0"/>
        <cfvo type="num" val="10"/>
        <color rgb="0063BE7B"/>
      </dataBar>
    </cfRule>
    <cfRule type="dataBar" priority="25">
      <dataBar>
        <cfvo type="num" val="0"/>
        <cfvo type="num" val="10"/>
        <color rgb="0063BE7B"/>
      </dataBar>
    </cfRule>
    <cfRule type="dataBar" priority="26">
      <dataBar>
        <cfvo type="num" val="0"/>
        <cfvo type="num" val="10"/>
        <color rgb="0063BE7B"/>
      </dataBar>
    </cfRule>
  </conditionalFormatting>
  <dataValidations count="5">
    <dataValidation sqref="E2:E132" showDropDown="0" showInputMessage="0" showErrorMessage="0" allowBlank="1" type="list" errorStyle="stop" operator="between">
      <formula1>"Sim,Parcial,Não"</formula1>
      <formula2>0</formula2>
    </dataValidation>
    <dataValidation sqref="F2:F132" showDropDown="0" showInputMessage="0" showErrorMessage="0" allowBlank="1" type="list" errorStyle="stop" operator="between">
      <formula1>"Sim,Parcial,Não"</formula1>
      <formula2>0</formula2>
    </dataValidation>
    <dataValidation sqref="G2:G132" showDropDown="0" showInputMessage="0" showErrorMessage="0" allowBlank="1" type="list" errorStyle="stop" operator="between">
      <formula1>"otool + Ghidra,otool,Ghidra,Outro binário,Nenhum"</formula1>
      <formula2>0</formula2>
    </dataValidation>
    <dataValidation sqref="H2:H132" showDropDown="0" showInputMessage="0" showErrorMessage="0" allowBlank="1" type="list" errorStyle="stop" operator="between">
      <formula1>"Sim,Parcial,Não"</formula1>
      <formula2>0</formula2>
    </dataValidation>
    <dataValidation sqref="K2:K132" showDropDown="0" showInputMessage="0" showErrorMessage="0" allowBlank="1" type="list" errorStyle="stop" operator="between">
      <formula1>"Consistente,Corrigido 2026-10-14,Corrigido 2026-10-15,Corrigido 2026-10-16,Corrigido 2026-10-09,Correção pendente (audit),Aberto / não resolvido,Não auditado"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21" min="1" max="1"/>
    <col width="8" customWidth="1" style="21" min="2" max="2"/>
    <col width="60" customWidth="1" style="21" min="3" max="3"/>
    <col width="60" customWidth="1" style="21" min="4" max="4"/>
    <col width="22" customWidth="1" style="21" min="5" max="5"/>
    <col width="26" customWidth="1" style="21" min="6" max="6"/>
    <col width="20" customWidth="1" style="21" min="7" max="7"/>
    <col width="22" customWidth="1" style="21" min="8" max="8"/>
    <col width="34" customWidth="1" style="21" min="9" max="9"/>
  </cols>
  <sheetData>
    <row r="1">
      <c r="A1" s="76" t="inlineStr">
        <is>
          <t>ID</t>
        </is>
      </c>
      <c r="B1" s="76" t="inlineStr">
        <is>
          <t>Pacote</t>
        </is>
      </c>
      <c r="C1" s="76" t="inlineStr">
        <is>
          <t>Tarefa</t>
        </is>
      </c>
      <c r="D1" s="76" t="inlineStr">
        <is>
          <t>Critério de aceite (teste)</t>
        </is>
      </c>
      <c r="E1" s="76" t="inlineStr">
        <is>
          <t>Depende de</t>
        </is>
      </c>
      <c r="F1" s="76" t="inlineStr">
        <is>
          <t>Status</t>
        </is>
      </c>
      <c r="G1" s="76" t="inlineStr">
        <is>
          <t>Quem</t>
        </is>
      </c>
      <c r="H1" s="76" t="inlineStr">
        <is>
          <t>Fonte no plano</t>
        </is>
      </c>
      <c r="I1" s="76" t="inlineStr">
        <is>
          <t>Notas</t>
        </is>
      </c>
    </row>
    <row r="2">
      <c r="A2" s="77" t="inlineStr">
        <is>
          <t>P1</t>
        </is>
      </c>
      <c r="B2" s="77" t="inlineStr">
        <is>
          <t>P</t>
        </is>
      </c>
      <c r="C2" s="77" t="inlineStr">
        <is>
          <t>Ler IODCLProgram::generateBufferMap (10.13.6) e definir as restrições que a cadeia DCL do clone precisa cumprir (risco R-1)</t>
        </is>
      </c>
      <c r="D2" s="77" t="inlineStr">
        <is>
          <t>Nota em Q-D1-round-two-static-review com cites de asm; lista de restrições para o M-B</t>
        </is>
      </c>
      <c r="E2" s="77" t="inlineStr">
        <is>
          <t>—</t>
        </is>
      </c>
      <c r="F2" s="77" t="inlineStr">
        <is>
          <t>Concluído</t>
        </is>
      </c>
      <c r="G2" s="77" t="inlineStr">
        <is>
          <t>Claude</t>
        </is>
      </c>
      <c r="H2" s="77" t="inlineStr">
        <is>
          <t>BUILD-PLAN §2 P1</t>
        </is>
      </c>
      <c r="I2" s="77" t="inlineStr">
        <is>
          <t>[2026-10-14, R36] Seis restrições à cadeia DCL (buffers e slots de timestamp numa só alocação, não-NULL, DMA 32 bits...). Aceitação em tempo de execução só no M-B.</t>
        </is>
      </c>
    </row>
    <row r="3">
      <c r="A3" s="77" t="inlineStr">
        <is>
          <t>P2</t>
        </is>
      </c>
      <c r="B3" s="77" t="inlineStr">
        <is>
          <t>P</t>
        </is>
      </c>
      <c r="C3" s="77" t="inlineStr">
        <is>
          <t>Semântica de IOBufferMemoryDescriptor::inTaskWithPhysicalMask no 10.13.6 vs. parâmetros do TPacketPool (Q17) (risco R-2)</t>
        </is>
      </c>
      <c r="D3" s="77" t="inlineStr">
        <is>
          <t>Lista de máscaras/tamanhos permitidos; o clone só usa esses</t>
        </is>
      </c>
      <c r="E3" s="77" t="inlineStr">
        <is>
          <t>—</t>
        </is>
      </c>
      <c r="F3" s="77" t="inlineStr">
        <is>
          <t>Concluído</t>
        </is>
      </c>
      <c r="G3" s="77" t="inlineStr">
        <is>
          <t>Claude</t>
        </is>
      </c>
      <c r="H3" s="77" t="inlineStr">
        <is>
          <t>BUILD-PLAN §2 P2</t>
        </is>
      </c>
      <c r="I3" s="77" t="inlineStr">
        <is>
          <t>[2026-10-14, R36] Máscara = bus-&gt;getFireWirePhysicalBufferMask() &amp; ~0xFFF; options 0; KMA_LOMEM (não contígua); pools de 0,1–0,7 MB. Sucesso da alocação só no M-B.</t>
        </is>
      </c>
    </row>
    <row r="4">
      <c r="A4" s="77" t="inlineStr">
        <is>
          <t>P3</t>
        </is>
      </c>
      <c r="B4" s="77" t="inlineStr">
        <is>
          <t>P</t>
        </is>
      </c>
      <c r="C4" s="77" t="inlineStr">
        <is>
          <t>Documentar o caminho de firmware no kext: FirmwareUpdate*, Download*, FirmwareHalt, layout de 80 B do MAFirmwareInfo</t>
        </is>
      </c>
      <c r="D4" s="77" t="inlineStr">
        <is>
          <t>Nota A1 nova; layout de bytes com cites; comandos BeBoB conferidos com FFADO/snd-bebob</t>
        </is>
      </c>
      <c r="E4" s="77" t="inlineStr">
        <is>
          <t>—</t>
        </is>
      </c>
      <c r="F4" s="77" t="inlineStr">
        <is>
          <t>Concluído</t>
        </is>
      </c>
      <c r="G4" s="77" t="inlineStr">
        <is>
          <t>Claude</t>
        </is>
      </c>
      <c r="H4" s="77" t="inlineStr">
        <is>
          <t>BUILD-PLAN §2 P3</t>
        </is>
      </c>
      <c r="I4" s="77" t="inlineStr">
        <is>
          <t>[2026-10-14, R37] Protocolo BeBoB no kext decodificado (registradores C8020000/C8021000/C8021040/C8029000; Reset/DownloadStart/Block/End/Go; blocos de 512 B; despacho por bcd[0x34]); MAFirmwareInfo = info_register_t do FFADO (valor vivo decodificado). Não verificado: CRC extra no DownloadEnd; 10.13.6.</t>
        </is>
      </c>
    </row>
    <row r="5">
      <c r="A5" s="77" t="inlineStr">
        <is>
          <t>P4</t>
        </is>
      </c>
      <c r="B5" s="77" t="inlineStr">
        <is>
          <t>P</t>
        </is>
      </c>
      <c r="C5" s="77" t="inlineStr">
        <is>
          <t>Fechar parâmetros por taxa do Q-CMP-CONNECT (banda, canal, velocidade, packetSize) e os padrões do Q3b (parcial)</t>
        </is>
      </c>
      <c r="D5" s="77" t="inlineStr">
        <is>
          <t>Tabelas nas notas A1; nenhum valor usado pelo código ainda rotulado como "guess"</t>
        </is>
      </c>
      <c r="E5" s="77" t="inlineStr">
        <is>
          <t>—</t>
        </is>
      </c>
      <c r="F5" s="77" t="inlineStr">
        <is>
          <t>Concluído</t>
        </is>
      </c>
      <c r="G5" s="77" t="inlineStr">
        <is>
          <t>Claude</t>
        </is>
      </c>
      <c r="H5" s="77" t="inlineStr">
        <is>
          <t>BUILD-PLAN §2 P4</t>
        </is>
      </c>
      <c r="I5" s="77" t="inlineStr">
        <is>
          <t>[2026-10-14, R38] Tabela por taxa/modo verificada (capturas 72/74, MABytesPerCycle=976); sequência de init e palavras padrão do mixer. Abertos e rotulados: ordem dos half-words do pan, imagem inicial do 0x98, 2 quadros AV/C. 10.13.6 não executado.</t>
        </is>
      </c>
    </row>
    <row r="6">
      <c r="A6" s="77" t="inlineStr">
        <is>
          <t>P5</t>
        </is>
      </c>
      <c r="B6" s="77" t="inlineStr">
        <is>
          <t>P</t>
        </is>
      </c>
      <c r="C6" s="77" t="inlineStr">
        <is>
          <t>Consolidar os corpos de C1–C6 (texto antigo ainda sob blocos Correction)</t>
        </is>
      </c>
      <c r="D6" s="77" t="inlineStr">
        <is>
          <t>Cada C-doc lê como uma versão consistente; flags abertas de C2–C6 reconferidas</t>
        </is>
      </c>
      <c r="E6" s="77" t="inlineStr">
        <is>
          <t>—</t>
        </is>
      </c>
      <c r="F6" s="77" t="inlineStr">
        <is>
          <t>Concluído</t>
        </is>
      </c>
      <c r="G6" s="77" t="inlineStr">
        <is>
          <t>Claude</t>
        </is>
      </c>
      <c r="H6" s="77" t="inlineStr">
        <is>
          <t>BUILD-PLAN §2 P5</t>
        </is>
      </c>
      <c r="I6" s="77" t="inlineStr">
        <is>
          <t>[2026-10-14, R35] C1–C6 reescritos como uma versão consistente cada (logs de mudança no fim; originais no git a9cb63c). Itens ainda não verificados seguem rotulados no texto; as 7 flags abertas dependem de hardware.</t>
        </is>
      </c>
    </row>
    <row r="7">
      <c r="A7" s="77" t="inlineStr">
        <is>
          <t>P6</t>
        </is>
      </c>
      <c r="B7" s="77" t="inlineStr">
        <is>
          <t>P</t>
        </is>
      </c>
      <c r="C7" s="77" t="inlineStr">
        <is>
          <t>Especificar o oráculo de verificação: capturas SL/DTrace que dão a referência bit-a-bit (CIP, rótulos AM824, quadros FCP, escritas de propriedade, página de medidores)</t>
        </is>
      </c>
      <c r="D7" s="77" t="inlineStr">
        <is>
          <t>Especificação do harness em tests/ e lista de capturas por marco</t>
        </is>
      </c>
      <c r="E7" s="77" t="inlineStr">
        <is>
          <t>—</t>
        </is>
      </c>
      <c r="F7" s="77" t="inlineStr">
        <is>
          <t>Concluído</t>
        </is>
      </c>
      <c r="G7" s="77" t="inlineStr">
        <is>
          <t>Claude</t>
        </is>
      </c>
      <c r="H7" s="77" t="inlineStr">
        <is>
          <t>BUILD-PLAN §2 P6</t>
        </is>
      </c>
      <c r="I7" s="77" t="inlineStr">
        <is>
          <t>[2026-10-14, R39] Oráculo especificado em docs/system-map/P6-verification-oracle.md: O1 vetores estáticos, O2 ioreg, O3 replay setProperties, O4 logs macfw/FFADO, O5 capturas novas (precisam de OK), O6 aceite em hardware; layout tests/ e matriz marco→oráculo. Lacunas: bytes assíncronos/isócronos não observáveis no SL.</t>
        </is>
      </c>
    </row>
    <row r="8">
      <c r="A8" s="77" t="inlineStr">
        <is>
          <t>M-A</t>
        </is>
      </c>
      <c r="B8" s="77" t="inlineStr">
        <is>
          <t>M</t>
        </is>
      </c>
      <c r="C8" s="77" t="inlineStr">
        <is>
          <t>Esqueleto do kext: Info.plist (Q-INFO), FWMetaNub (6 estados), FWAVCAudioDevice::probe de duas rodadas, free()/dtors NULL-safe, go-away do FW1814, os_log</t>
        </is>
      </c>
      <c r="D8" s="77" t="inlineStr">
        <is>
          <t>Carrega de /tmp com a interface desligada e descarrega limpo; com a interface ligada (power-cycle, sem hot-plug) NÃO há pânico em 5 min; rodada 1 rejeitada em silêncio; após MAFirmwareStart a classe do produto instancia; AppleFWAudio não ligado</t>
        </is>
      </c>
      <c r="E8" s="77" t="inlineStr">
        <is>
          <t>aprovação do plano; checagem SIP-on</t>
        </is>
      </c>
      <c r="F8" s="77" t="inlineStr">
        <is>
          <t>Concluído</t>
        </is>
      </c>
      <c r="G8" s="77" t="inlineStr">
        <is>
          <t>Claude + Você presente</t>
        </is>
      </c>
      <c r="H8" s="77" t="inlineStr">
        <is>
          <t>BUILD-PLAN §3</t>
        </is>
      </c>
      <c r="I8" s="77" t="inlineStr">
        <is>
          <t>[2026-10-15] Aceite verificado no build PC (10.13.6): carrega/descarrega limpo com interface desligada; com interface ligada sem panic (~6,5 min), round 1 rejeitado, MAFirmwareStart -&gt; FW1814Device; AppleFWAudio ausente (a sub-unidade AV/C nem aparece: a personalidade GoAway não foi exercitada). Instalado em /Library/Extensions e sobrevive a reboot.</t>
        </is>
      </c>
    </row>
    <row r="9">
      <c r="A9" s="77" t="inlineStr">
        <is>
          <t>M-FW</t>
        </is>
      </c>
      <c r="B9" s="77" t="inlineStr">
        <is>
          <t>M</t>
        </is>
      </c>
      <c r="C9" s="77" t="inlineStr">
        <is>
          <t>Caminho de firmware no kext + propriedades MAFirmwareInfo/Start/Halt/UpgradeImage</t>
        </is>
      </c>
      <c r="D9" s="77" t="inlineStr">
        <is>
          <t>Transição bootloader→runtime só por propriedades; atualização testada por último, com você presente</t>
        </is>
      </c>
      <c r="E9" s="77" t="inlineStr">
        <is>
          <t>M-A; H.1 (P3 concluído)</t>
        </is>
      </c>
      <c r="F9" s="77" t="inlineStr">
        <is>
          <t>Concluído</t>
        </is>
      </c>
      <c r="G9" s="77" t="inlineStr">
        <is>
          <t>Claude + Você presente</t>
        </is>
      </c>
      <c r="H9" s="77" t="inlineStr">
        <is>
          <t>BUILD-PLAN §3</t>
        </is>
      </c>
      <c r="I9" s="77" t="inlineStr">
        <is>
          <t>[2026-10-15] Escopo reduzido por decisão do usuário (2026-10-15): SEM gravação de flash. Mantidos MAFirmwareInfo, MAFirmwareStart (runtime e bootloader/Go) e o temporizador de re-registro 2500 ms; removidos Halt/UpgradeImage/Download*. Ciclo Halt-&gt;bootloader-&gt;Go verificado em hardware antes do corte (janela do bootloader ~3 s; o dispositivo também reinicia sozinho).</t>
        </is>
      </c>
    </row>
    <row r="10">
      <c r="A10" s="77" t="inlineStr">
        <is>
          <t>M-B</t>
        </is>
      </c>
      <c r="B10" s="77" t="inlineStr">
        <is>
          <t>M</t>
        </is>
      </c>
      <c r="C10" s="77" t="inlineStr">
        <is>
          <t>TPacketPool, construtores DCL (TX 20 seg / RX 64×4), callbacks via CallProc, TX AM824 contínuo</t>
        </is>
      </c>
      <c r="D10" s="77" t="inlineStr">
        <is>
          <t>createLocalIsochPort devolve não-NULL; geometria dos pacotes TX igual à captura 74 (424 B, DBS 13)</t>
        </is>
      </c>
      <c r="E10" s="77" t="inlineStr">
        <is>
          <t>P1; P2; M-A</t>
        </is>
      </c>
      <c r="F10" s="77" t="inlineStr">
        <is>
          <t>Concluído</t>
        </is>
      </c>
      <c r="G10" s="77" t="inlineStr">
        <is>
          <t>Claude</t>
        </is>
      </c>
      <c r="H10" s="77" t="inlineStr">
        <is>
          <t>BUILD-PLAN §3</t>
        </is>
      </c>
      <c r="I10" s="77" t="inlineStr">
        <is>
          <t>[2026-10-15] Parte 1 escrita (TPacketPool, FWDCLBuilder, programas TX 20 seg / RX 64x4, createLocalIsochPort, atribuição do pool à cadeia); compila e passa kextutil -t -n. Falta: callbacks TX/RX com preparação de pacotes (OutputDCLCallback @0x26269), cabeçalhos CIP/SYT/DBC. Achado: no TX, SetTagSyncBits(1,0) vai no PRIMEIRO primer de cada banco (asm 0x25b50), não no último segmento. [2026-10-15] Fechamento 2026-10-15: decodificação completa em A1-ghidra/Q-MB-dcl-callbacks.md (R41). Escrito: FWSharedSync, FWCip, TPacketPool (+índice FWTPacketIndex), FWDCLBuilder (+ModifyJumpLabel), FWDCLProgram.h; FALTA portar FWDCLProgram.cpp (a árvore do kext NÃO compila até lá) e remover o gancho de bring-up do FW1814Device. Nunca carregado em hardware (regra do avião). Correções a docs antigos: ver Q-MB §7. [2026-10-15] Parte 2 escrita: FWDCLProgram.cpp portado (callbacks TX/RX, AdjustOutputDCL, SetPacketSize com offset-por-1, Start/Stop); hook de bring-up removido. Build PC: make limpo + kextutil -t -n OK, nada carregado. Aceite (porta não-NULL, geometria 424 B) só no teste integrado. [2026-10-16 1º teste integrado] Programas DCL TX/RX montados e rodando no hardware; áudio de saída limpo. [2026-10-21] Funciona no hardware (0.1.0 e 0.2.x, uso diário do usuário até 2026-10-21).</t>
        </is>
      </c>
    </row>
    <row r="11">
      <c r="A11" s="77" t="inlineStr">
        <is>
          <t>M-C</t>
        </is>
      </c>
      <c r="B11" s="77" t="inlineStr">
        <is>
          <t>M</t>
        </is>
      </c>
      <c r="C11" s="77" t="inlineStr">
        <is>
          <t>CMP (canal IRM, travas oPCR/iPCR), formato de stream AV/C e a ordem de partida da referência</t>
        </is>
      </c>
      <c r="D11" s="77" t="inlineStr">
        <is>
          <t>Dispositivo trava; isoch nos dois sentidos; estável 5 min a 48 kHz/512</t>
        </is>
      </c>
      <c r="E11" s="77" t="inlineStr">
        <is>
          <t>P4; M-B</t>
        </is>
      </c>
      <c r="F11" s="77" t="inlineStr">
        <is>
          <t>Concluído</t>
        </is>
      </c>
      <c r="G11" s="77" t="inlineStr">
        <is>
          <t>Claude + Você presente</t>
        </is>
      </c>
      <c r="H11" s="77" t="inlineStr">
        <is>
          <t>BUILD-PLAN §3</t>
        </is>
      </c>
      <c r="I11" s="77" t="inlineStr">
        <is>
          <t>[2026-10-15] G1 aprovado pelo usuário; construção segue o fluxograma docs/flowchart driver.drawio. [2026-10-15] Esqueleto: FWIsochChannel, FWCMP, FWAvc, FWStreamControl, FWBusReset (.h/.cpp com cabeçalho do plano). ANTES de escrever: Q-START (quem chama Connect/channel-&gt;start/ResetPort; vt[0x120] do ConnectAudioMIDIChannels é Connect, não Start). [2026-10-15] Q-START fechado (R43): Connect e Start separados; RX Start antes de TX Start. [2026-10-15] Código escrito (R44/Q-MC): FWAvc, FWCMP, FWIsochChannel, FWStreamControl, Connect/Disconnect/ResetPort, AllocateConnectionManager. Build PC limpo + kextutil -t -n OK; nada carregado. Falta: ligar BusReset ao evento do nub, instanciar pelo engine (M-D/M-J). Aceite só no teste integrado. [2026-10-16 1º teste integrado] CMP/AV-C e início dos canais funcionam (áudio em out 1/2). Troca S/PDIF-&gt;ADAT com áudio tocando trava o stream (O1). [2026-10-17] [2026-10-17, R56/Q-AVC-unit-and-O1] FWAvcUnit reconstruído como subclasse de IOFireWireAVCUnit (init/attach/start como asm 0x23c72; fCommand/avcLock/cmdLock como 0x1594; fila async 0x17fc/0x16c8) - antes nenhuma resposta FCP chegava e todo comando AV/C estourava 1,27 s. Agora síncrono 22 ms ACCEPTED, bring-up 23 s -&gt; 13 s (5-14 s), roteamento SW return 1/2 -&gt; out 3/4 funciona (usuário). Falta: estabilidade 5 min, bus reset/sleep-wake da unit. [2026-10-21] Funciona no hardware (0.1.0 e 0.2.x, uso diário do usuário até 2026-10-21).</t>
        </is>
      </c>
    </row>
    <row r="12">
      <c r="A12" s="77" t="inlineStr">
        <is>
          <t>M-D</t>
        </is>
      </c>
      <c r="B12" s="77" t="inlineStr">
        <is>
          <t>M</t>
        </is>
      </c>
      <c r="C12" s="77" t="inlineStr">
        <is>
          <t>Todas as 6 taxas (44,1–192 kHz): tabelas FDF/SYT, cadeia de mudança de formato, recálculo de latência</t>
        </is>
      </c>
      <c r="D12" s="77" t="inlineStr">
        <is>
          <t>Cada taxa transmite; SampleOffset/OutputSampleLatency comparados com a captura 72</t>
        </is>
      </c>
      <c r="E12" s="77" t="inlineStr">
        <is>
          <t>M-C</t>
        </is>
      </c>
      <c r="F12" s="77" t="inlineStr">
        <is>
          <t>Concluído</t>
        </is>
      </c>
      <c r="G12" s="77" t="inlineStr">
        <is>
          <t>Claude</t>
        </is>
      </c>
      <c r="H12" s="77" t="inlineStr">
        <is>
          <t>BUILD-PLAN §3</t>
        </is>
      </c>
      <c r="I12" s="77" t="inlineStr">
        <is>
          <t>[2026-10-15] G1 aprovado pelo usuário; construção segue o fluxograma docs/flowchart driver.drawio. [2026-10-15] Esqueleto: FWBaseEngine, FWCip (parcialmente escrito em M-B), tests/hw-smoke/ratesweep.sh. [2026-10-15] Núcleo do engine escrito (R45/Q-MD): FWDiscreteEngine/FWBaseEngine/FWEngine2/FWStream, tabelas por taxa, cadeia de troca de taxa, latência, máquina de estados pendentes, createAudioEngine. Build PC limpo + kextutil -t -n OK; nada carregado. Falta (M-D2): conversores/clip/peaks de amostras; FWStream::setFormat; MIDI/AC3/pares nos marcos próprios. [2026-10-15] Caminho de amostras escrito (M-D2/R46/Q-MD2): ver a linha M-D2. [2026-10-16 1º teste integrado] Engine visível ao CoreAudio após corrigir ReallyRegisterService (F1). Troca de taxa/formato em streaming ainda falha (O1/O2); init leva ~23 s (O3). [2026-10-21] Funciona no hardware (0.1.0 e 0.2.x, uso diário do usuário até 2026-10-21). O1/O2 resolvidos (R56).</t>
        </is>
      </c>
    </row>
    <row r="13">
      <c r="A13" s="77" t="inlineStr">
        <is>
          <t>M-D2</t>
        </is>
      </c>
      <c r="B13" s="77" t="inlineStr">
        <is>
          <t>M</t>
        </is>
      </c>
      <c r="C13" s="77" t="inlineStr">
        <is>
          <t>Caminho de amostras: clipOutputSamples/convertInputSamples, _Convert*/_Rearrange*/_SamplePeaks*/Float32&lt;-&gt;Int*, ResetRearrangementProcs, WorkaroundFor1814InputDelay</t>
        </is>
      </c>
      <c r="D13" s="77" t="inlineStr">
        <is>
          <t>Silêncio e sinal de teste idênticos byte a byte ao oráculo (O1-O6) para cada contagem de canais; picos coerentes com a captura 70</t>
        </is>
      </c>
      <c r="E13" s="77" t="inlineStr">
        <is>
          <t>M-D</t>
        </is>
      </c>
      <c r="F13" s="77" t="inlineStr">
        <is>
          <t>Concluído</t>
        </is>
      </c>
      <c r="G13" s="77" t="inlineStr">
        <is>
          <t>Claude</t>
        </is>
      </c>
      <c r="H13" s="77" t="inlineStr">
        <is>
          <t>Q13; Q9; Q-MD §4</t>
        </is>
      </c>
      <c r="I13" s="77" t="inlineStr">
        <is>
          <t>[2026-10-15] Código escrito (R46/Q-MD2): FWSamples.{h,cpp}, FWDiscreteEngine clip/convert, FWBaseEngine::MainEngineClipOutputSamples/ConvertInputSamplesCore/ConvertInputSampleData, FWEngine2::ClipPCMOutput, FW1814Device::ResetRearrangementProcs/WorkaroundFor1814InputDelay, SetIOFormat chama ResetRearrangementProcs. Teste em host dos conversores OK; build PC limpo + kextutil -t -n OK; nada carregado. Não portado (fora do caminho do FW1814): _SamplePeaks*, LLRR, 1212CS, remap. Aceite (bytes idênticos ao oráculo, picos) só no teste integrado. [2026-10-15] Correção: o proc de peaks do FW1814 É usado (SwitchDigitalSignals) e foi portado no M-E (Q-ME §4). [2026-10-17] R75: performErase zeroed the sample buffer instead of the mix buffer (ref 0x4e08); fixed, loopcheck 34 s with 4 second-client events = 0 breaks; user confirmed by ear on the Air. Long soak NOT done. [2026-10-21] Funciona no hardware (0.1.0 e 0.2.x, uso diário do usuário até 2026-10-21). Soak dispensado (usuário, R123).</t>
        </is>
      </c>
    </row>
    <row r="14">
      <c r="A14" s="77" t="inlineStr">
        <is>
          <t>M-E</t>
        </is>
      </c>
      <c r="B14" s="77" t="inlineStr">
        <is>
          <t>M</t>
        </is>
      </c>
      <c r="C14" s="77" t="inlineStr">
        <is>
          <t>Mixer: dispatcher FWPropertyDict, CustomMixerWriteQuads, reset de fábrica (MAClockSource=0x40000003), quadro HSCI de clock</t>
        </is>
      </c>
      <c r="D14" s="77" t="inlineStr">
        <is>
          <t>Escritas de registrador idênticas byte a byte às capturas do SL para as mesmas escritas de propriedade</t>
        </is>
      </c>
      <c r="E14" s="77" t="inlineStr">
        <is>
          <t>P4 (concluído); M-C</t>
        </is>
      </c>
      <c r="F14" s="77" t="inlineStr">
        <is>
          <t>Concluído</t>
        </is>
      </c>
      <c r="G14" s="77" t="inlineStr">
        <is>
          <t>Claude</t>
        </is>
      </c>
      <c r="H14" s="77" t="inlineStr">
        <is>
          <t>BUILD-PLAN §3</t>
        </is>
      </c>
      <c r="I14" s="77" t="inlineStr">
        <is>
          <t>[2026-10-15] G1 aprovado pelo usuário; construção segue o fluxograma docs/flowchart driver.drawio. [2026-10-15] Esqueleto: FWHsci, FWPropertyDict, FWMixerRegs.h. [2026-10-15] Código escrito (R47/Q-ME): FWFunctor, FWChannelGroup, FWPropertyDict(+props e controles IOAudio), FWSettings{Levels,AuxSend,Rotary,ABSwitch}, FW1814Mixer (escritas 0x00-0x9c), CustomMixerWriteQuads, FWHsci (poll 50 ms), clock/blank slate/SwitchDigitalSignals/ReconnectP2P, initHardware conforme Q3b, unique IDs, nomes de canais, peaks do 1814. Build PC limpo + kextutil -t -n OK; nada carregado. Falta: sleep/wake (M-E2), notificações a user clients (M-F), engines de par (M-J), fila AV/C assíncrona (desvio: síncrono). Aceite (bytes iguais às capturas do SL) só no teste integrado. [2026-10-16 1º teste integrado] Propriedades (36 chaves), escritas do mixer, HSCI e medidores funcionam após F3; seletor de fones no início adicionado (F4, não verificado). [2026-10-21] Funciona no hardware (0.1.0 e 0.2.x, uso diário do usuário até 2026-10-21).</t>
        </is>
      </c>
    </row>
    <row r="15">
      <c r="A15" s="77" t="inlineStr">
        <is>
          <t>M-E2</t>
        </is>
      </c>
      <c r="B15" s="77" t="inlineStr">
        <is>
          <t>M</t>
        </is>
      </c>
      <c r="C15" s="77" t="inlineStr">
        <is>
          <t>Energia (sleep/wake) do device: SystemWillSleep/SystemWokeUp/performPowerStateChange/WakeAfterSleep e AddToDeviceList</t>
        </is>
      </c>
      <c r="D15" s="77" t="inlineStr">
        <is>
          <t>Dormir e acordar com o stream aberto: reconecta sem panics; mixer reaplicado</t>
        </is>
      </c>
      <c r="E15" s="77" t="inlineStr">
        <is>
          <t>M-E</t>
        </is>
      </c>
      <c r="F15" s="77" t="inlineStr">
        <is>
          <t>Sob demanda (uso real)</t>
        </is>
      </c>
      <c r="G15" s="77" t="inlineStr">
        <is>
          <t>Claude</t>
        </is>
      </c>
      <c r="H15" s="77" t="inlineStr">
        <is>
          <t>Q-ME §7b</t>
        </is>
      </c>
      <c r="I15" s="77" t="inlineStr">
        <is>
          <t>[2026-10-15] Criado ao fechar o M-E: ganchos de energia do FWAudioDevice ainda não portados (ver Q-ME §7b). [2026-10-15] Código escrito (R48): performPowerStateChange, SystemWillSleep/WokeUp, WakeAfterSleep em thread nova. Build limpo; nada carregado. [2026-10-21] Sleep/wake não testado. Política R123 (usuário): sem testes formais; só se o uso real mostrar problema.</t>
        </is>
      </c>
    </row>
    <row r="16">
      <c r="A16" s="77" t="inlineStr">
        <is>
          <t>M-F</t>
        </is>
      </c>
      <c r="B16" s="77" t="inlineStr">
        <is>
          <t>M</t>
        </is>
      </c>
      <c r="C16" s="77" t="inlineStr">
        <is>
          <t>User client: seletores 500–507, página de medidores peak[52], notificações tipo 0/1, clientMemoryForType</t>
        </is>
      </c>
      <c r="D16" s="77" t="inlineStr">
        <is>
          <t>Stub do painel lê medidores ao vivo; seletores MIDI respondem</t>
        </is>
      </c>
      <c r="E16" s="77" t="inlineStr">
        <is>
          <t>M-E</t>
        </is>
      </c>
      <c r="F16" s="77" t="inlineStr">
        <is>
          <t>Concluído</t>
        </is>
      </c>
      <c r="G16" s="77" t="inlineStr">
        <is>
          <t>Claude</t>
        </is>
      </c>
      <c r="H16" s="77" t="inlineStr">
        <is>
          <t>BUILD-PLAN §3</t>
        </is>
      </c>
      <c r="I16" s="77" t="inlineStr">
        <is>
          <t>[2026-10-15] G1 aprovado pelo usuário; construção segue o fluxograma docs/flowchart driver.drawio. [2026-10-15] Esqueleto: FWKIPCUserClient, FW1814UserClient. [2026-10-15] Código escrito (R48/Q-MF): FWKIPCUserClient, FW1814UserClient (seletores 500-507, memória, notificações tipo 0/1), entrega de propriedades. Build PC limpo + kextutil -t -n OK; nada carregado. Falta: MIDI real (M-H). Aceite só no teste integrado. [2026-10-16 1º teste integrado] User client, página de medidores e notificações funcionam com o painel real. [2026-10-17] R76: performAudioEngineStop now calls ClearPeakMeters (ref 0x543c/0xda1e); user confirmed on the Air that the panel meters fall to zero after stop. [2026-10-21] Funciona no hardware (0.1.0 e 0.2.x, uso diário do usuário até 2026-10-21).</t>
        </is>
      </c>
    </row>
    <row r="17">
      <c r="A17" s="77" t="inlineStr">
        <is>
          <t>M-H</t>
        </is>
      </c>
      <c r="B17" s="77" t="inlineStr">
        <is>
          <t>M</t>
        </is>
      </c>
      <c r="C17" s="77" t="inlineStr">
        <is>
          <t>MIDI (reusar o plug-in de referência se carregar no 10.13 — não verificado — senão reescrever a partir do A3)</t>
        </is>
      </c>
      <c r="D17" s="77" t="inlineStr">
        <is>
          <t>Loopback pelas portas DIN; SysEx ida e volta; sleep/wake</t>
        </is>
      </c>
      <c r="E17" s="77" t="inlineStr">
        <is>
          <t>M-F</t>
        </is>
      </c>
      <c r="F17" s="77" t="inlineStr">
        <is>
          <t>Sob demanda (uso real)</t>
        </is>
      </c>
      <c r="G17" s="77" t="inlineStr">
        <is>
          <t>Claude</t>
        </is>
      </c>
      <c r="H17" s="77" t="inlineStr">
        <is>
          <t>BUILD-PLAN §3</t>
        </is>
      </c>
      <c r="I17" s="77" t="inlineStr">
        <is>
          <t>[2026-10-15] G1 aprovado pelo usuário; construção segue o fluxograma docs/flowchart driver.drawio. [2026-10-15] Esqueleto: midi-plugin/Sources/{Factory,Driver,Device,Wire}.cpp. Decodificação de TX/RX MIDI nos pacotes já está em ghidra-exports/decomp/q-mb-dcl-callbacks.c (ScheduleMidiPacket, ProcessCompoundMIDIOutput, ProcessCompoundMIDIInputForPacket). [2026-10-15] Metade do kext escrita (R50/Q-MH): portas, anéis, agendamento TX, RX, start/stop. Build limpo + kextutil -t -n OK; nada carregado. Falta o plug-in CoreMIDI (M-H2). [2026-10-17] R58: caminho do kext exercitado pelo plug-in (seletor 500 + streams); RX/TX no fio ainda não verificados. [2026-10-21] MIDI no fio (cabo DIN) não testado. Política R123 (usuário): sem testes formais; só se o uso real mostrar problema.</t>
        </is>
      </c>
    </row>
    <row r="18">
      <c r="A18" s="77" t="inlineStr">
        <is>
          <t>M-H2</t>
        </is>
      </c>
      <c r="B18" s="77" t="inlineStr">
        <is>
          <t>M</t>
        </is>
      </c>
      <c r="C18" s="77" t="inlineStr">
        <is>
          <t>Plug-in CoreMIDI de referência reutilizado sem alteração (alias de classe com_m_audio_FW1814Device ver nota) + cópia para /Library/Audio/MIDI Drivers pelo instalador</t>
        </is>
      </c>
      <c r="D18" s="77" t="inlineStr">
        <is>
          <t>Loopback via DIN; SysEx ida e volta; sleep/wake</t>
        </is>
      </c>
      <c r="E18" s="77" t="inlineStr">
        <is>
          <t>M-H</t>
        </is>
      </c>
      <c r="F18" s="77" t="inlineStr">
        <is>
          <t>Concluído</t>
        </is>
      </c>
      <c r="G18" s="77" t="inlineStr">
        <is>
          <t>Claude</t>
        </is>
      </c>
      <c r="H18" s="77" t="inlineStr">
        <is>
          <t>A3-midi; Q-MH</t>
        </is>
      </c>
      <c r="I18" s="77" t="inlineStr">
        <is>
          <t>[2026-10-15] Criado ao fechar a metade kext do M-H. [2026-10-15] Decisão: reutilizar o plug-in da referência (64 bits, casa por IOServiceMatching("com_m_audio_FW1814Device")); o kext ganhou a classe-alias abstrata de mesmo nome. Falta apenas a verificação de carga no 10.13.6 (teste integrado) e a cópia pelo instalador (IN.5). [2026-10-17] R58: carga no 10.13.6 verificada (MIDIServer lista o dispositivo; envios status 0; MIDI start sobe os streams sem panic). Falta bytes no fio / RX / SysEx / sleep-wake (cabo DIN) e a cópia pelo instalador (IN.5). [2026-10-21] Plug-in carrega e lista as portas (R58, R115).</t>
        </is>
      </c>
    </row>
    <row r="19">
      <c r="A19" s="77" t="inlineStr">
        <is>
          <t>M-I</t>
        </is>
      </c>
      <c r="B19" s="77" t="inlineStr">
        <is>
          <t>M</t>
        </is>
      </c>
      <c r="C19" s="77" t="inlineStr">
        <is>
          <t>Passthrough AC3 (fork cac3)</t>
        </is>
      </c>
      <c r="D19" s="77" t="inlineStr">
        <is>
          <t>Fluxo AC3 chega ao S/PDIF (checagem em hardware)</t>
        </is>
      </c>
      <c r="E19" s="77" t="inlineStr">
        <is>
          <t>M-D</t>
        </is>
      </c>
      <c r="F19" s="77" t="inlineStr">
        <is>
          <t>Sob demanda (uso real)</t>
        </is>
      </c>
      <c r="G19" s="77" t="inlineStr">
        <is>
          <t>Claude + Você presente</t>
        </is>
      </c>
      <c r="H19" s="77" t="inlineStr">
        <is>
          <t>BUILD-PLAN §3</t>
        </is>
      </c>
      <c r="I19" s="77" t="inlineStr">
        <is>
          <t>[2026-10-15] G1 aprovado pelo usuário; construção segue o fluxograma docs/flowchart driver.drawio. [2026-10-15] Esqueleto: FWAc3. [2026-10-15] Código escrito (R51/Q-MI). Build limpo + kextutil -t -n OK; nada carregado. Aceite (fluxo AC3 chega ao S/PDIF) só no teste integrado. [2026-10-21] Formatos AC-3 vistos (R115); AC-3 no fio não testado. Política R123 (usuário): sem testes formais; só se o uso real mostrar problema.</t>
        </is>
      </c>
    </row>
    <row r="20">
      <c r="A20" s="77" t="inlineStr">
        <is>
          <t>M-J</t>
        </is>
      </c>
      <c r="B20" s="77" t="inlineStr">
        <is>
          <t>M</t>
        </is>
      </c>
      <c r="C20" s="77" t="inlineStr">
        <is>
          <t>Família de 4 engines + MAEnableStereoPairEngines</t>
        </is>
      </c>
      <c r="D20" s="77" t="inlineStr">
        <is>
          <t>Contagem de engines igual à referência (ioreg no SL)</t>
        </is>
      </c>
      <c r="E20" s="77" t="inlineStr">
        <is>
          <t>M-D</t>
        </is>
      </c>
      <c r="F20" s="77" t="inlineStr">
        <is>
          <t>Sob demanda (uso real)</t>
        </is>
      </c>
      <c r="G20" s="77" t="inlineStr">
        <is>
          <t>Claude</t>
        </is>
      </c>
      <c r="H20" s="77" t="inlineStr">
        <is>
          <t>BUILD-PLAN §3</t>
        </is>
      </c>
      <c r="I20" s="77" t="inlineStr">
        <is>
          <t>[2026-10-15] G1 aprovado pelo usuário; construção segue o fluxograma docs/flowchart driver.drawio. [2026-10-15] Esqueleto: FWEngine1, FWEngine2, FWPairEngine, FWTimeSlaveEngine (FWBaseEngine compartilhado com M-D). [2026-10-15] Código escrito (R49/Q-MJ): FWTimeSlaveEngine, FWPairEngine, FWPairStream, CreateStereoPairSubEngines, sub-engines do mestre. Build limpo + kextutil -t -n OK; nada carregado. Aceite (contagem de engines = SL) só no teste integrado. [2026-10-21] MAEnableStereoPairEngines não exercitado. Política R123 (usuário): sem testes formais; só se o uso real mostrar problema.</t>
        </is>
      </c>
    </row>
    <row r="21">
      <c r="A21" s="77" t="inlineStr">
        <is>
          <t>M-K</t>
        </is>
      </c>
      <c r="B21" s="77" t="inlineStr">
        <is>
          <t>M</t>
        </is>
      </c>
      <c r="C21" s="77" t="inlineStr">
        <is>
          <t>Multi-interface</t>
        </is>
      </c>
      <c r="D21" s="77" t="inlineStr">
        <is>
          <t>Duas unidades, dois engines independentes</t>
        </is>
      </c>
      <c r="E21" s="77" t="inlineStr">
        <is>
          <t>M-J; segunda unidade</t>
        </is>
      </c>
      <c r="F21" s="77" t="inlineStr">
        <is>
          <t>Sob demanda (uso real)</t>
        </is>
      </c>
      <c r="G21" s="77" t="inlineStr">
        <is>
          <t>Você (segunda unidade)</t>
        </is>
      </c>
      <c r="H21" s="77" t="inlineStr">
        <is>
          <t>BUILD-PLAN §3</t>
        </is>
      </c>
      <c r="I21" s="77" t="inlineStr">
        <is>
          <t>Precisa de um segundo FW1814 [2026-10-15] G1 aprovado pelo usuário; construção segue o fluxograma docs/flowchart driver.drawio. [2026-10-15] Esqueleto: FWNubRegistry. [2026-10-21] Duas unidades no mesmo barramento ok com 1814 + Audiophile (R117); dois FW1814 exigem um segundo aparelho. Política R123 (usuário): sem testes formais; só se o uso real mostrar problema.</t>
        </is>
      </c>
    </row>
    <row r="22">
      <c r="A22" s="77" t="inlineStr">
        <is>
          <t>M-L</t>
        </is>
      </c>
      <c r="B22" s="77" t="inlineStr">
        <is>
          <t>M</t>
        </is>
      </c>
      <c r="C22" s="77" t="inlineStr">
        <is>
          <t>Validação de latência em todas as taxas</t>
        </is>
      </c>
      <c r="D22" s="77" t="inlineStr">
        <is>
          <t>≤ referência (C6 §9) medido em jig de loopback</t>
        </is>
      </c>
      <c r="E22" s="77" t="inlineStr">
        <is>
          <t>M-D; jig de loopback</t>
        </is>
      </c>
      <c r="F22" s="77" t="inlineStr">
        <is>
          <t>Sob demanda (uso real)</t>
        </is>
      </c>
      <c r="G22" s="77" t="inlineStr">
        <is>
          <t>Claude + Você</t>
        </is>
      </c>
      <c r="H22" s="77" t="inlineStr">
        <is>
          <t>BUILD-PLAN §3</t>
        </is>
      </c>
      <c r="I22" s="77" t="inlineStr">
        <is>
          <t>[2026-10-15] G1 aprovado pelo usuário; construção segue o fluxograma docs/flowchart driver.drawio. [2026-10-15] Esqueleto: tests/hw-smoke/loopback.sh. [2026-10-21] Latência 48 kHz medida (9,3 ms); demais taxas dispensadas. Política R123 (usuário): sem testes formais; só se o uso real mostrar problema.</t>
        </is>
      </c>
    </row>
    <row r="23">
      <c r="A23" s="77" t="inlineStr">
        <is>
          <t>M-M</t>
        </is>
      </c>
      <c r="B23" s="77" t="inlineStr">
        <is>
          <t>M</t>
        </is>
      </c>
      <c r="C23" s="77" t="inlineStr">
        <is>
          <t>Modernização (só UX)</t>
        </is>
      </c>
      <c r="D23" s="77" t="inlineStr">
        <is>
          <t>Nenhuma regressão de capacidade</t>
        </is>
      </c>
      <c r="E23" s="77" t="inlineStr">
        <is>
          <t>PN.*</t>
        </is>
      </c>
      <c r="F23" s="77" t="inlineStr">
        <is>
          <t>Concluído</t>
        </is>
      </c>
      <c r="G23" s="77" t="inlineStr">
        <is>
          <t>Claude</t>
        </is>
      </c>
      <c r="H23" s="77" t="inlineStr">
        <is>
          <t>BUILD-PLAN §3</t>
        </is>
      </c>
      <c r="I23" s="77" t="inlineStr">
        <is>
          <t>[2026-10-15] G1 aprovado pelo usuário; construção segue o fluxograma docs/flowchart driver.drawio. [2026-10-21] Modernização da UX feita no painel 0.2.x.</t>
        </is>
      </c>
    </row>
    <row r="24">
      <c r="A24" s="77" t="inlineStr">
        <is>
          <t>H.1</t>
        </is>
      </c>
      <c r="B24" s="77" t="inlineStr">
        <is>
          <t>H</t>
        </is>
      </c>
      <c r="C24" s="77" t="inlineStr">
        <is>
          <t>Helper mínimo: casar com com_m_audio_FWMetaNub e escrever MAFirmwareStart=YES</t>
        </is>
      </c>
      <c r="D24" s="77" t="inlineStr">
        <is>
          <t>Uma escrita por casamento; o kext registra "Firmware active: registering metanub"</t>
        </is>
      </c>
      <c r="E24" s="77" t="inlineStr">
        <is>
          <t>Aprovação do plano; M-A</t>
        </is>
      </c>
      <c r="F24" s="77" t="inlineStr">
        <is>
          <t>Concluído</t>
        </is>
      </c>
      <c r="G24" s="77" t="inlineStr">
        <is>
          <t>Claude</t>
        </is>
      </c>
      <c r="H24" s="77" t="inlineStr">
        <is>
          <t>A4 H2; H12</t>
        </is>
      </c>
      <c r="I24" s="77" t="inlineStr">
        <is>
          <t>[2026-10-15] Daemon com.openaudio.fw1814.helper (LaunchDaemon, instalado) escreve MAFirmwareStart a cada casamento; verificado no boot e ao ligar a interface sem comando manual.</t>
        </is>
      </c>
    </row>
    <row r="25">
      <c r="A25" s="77" t="inlineStr">
        <is>
          <t>H.2</t>
        </is>
      </c>
      <c r="B25" s="77" t="inlineStr">
        <is>
          <t>H</t>
        </is>
      </c>
      <c r="C25" s="77" t="inlineStr">
        <is>
          <t>Despacho de atualização: ler MAFirmwareInfo, comparar data do .bcd, sequência Halt → Upgrade → Start</t>
        </is>
      </c>
      <c r="D25" s="77" t="inlineStr">
        <is>
          <t>Transição bootloader→runtime (0x10070→0x10071) só por propriedades</t>
        </is>
      </c>
      <c r="E25" s="77" t="inlineStr">
        <is>
          <t>M-FW; H.1</t>
        </is>
      </c>
      <c r="F25" s="77" t="inlineStr">
        <is>
          <t>Cancelado (corte de escopo)</t>
        </is>
      </c>
      <c r="G25" s="77" t="inlineStr">
        <is>
          <t>Claude + Você presente</t>
        </is>
      </c>
      <c r="H25" s="77" t="inlineStr">
        <is>
          <t>A4 H2; H4; H9</t>
        </is>
      </c>
      <c r="I25" s="77" t="inlineStr">
        <is>
          <t>[2026-10-15] Atualização de firmware fora do escopo (decisão do usuário 2026-10-15): o driver nunca grava o flash do dispositivo.</t>
        </is>
      </c>
    </row>
    <row r="26">
      <c r="A26" s="77" t="inlineStr">
        <is>
          <t>H.3</t>
        </is>
      </c>
      <c r="B26" s="77" t="inlineStr">
        <is>
          <t>H</t>
        </is>
      </c>
      <c r="C26" s="77" t="inlineStr">
        <is>
          <t>Gating por sleep e por login do usuário do console</t>
        </is>
      </c>
      <c r="D26" s="77" t="inlineStr">
        <is>
          <t>Nenhuma escrita durante sleep ou sem usuário logado</t>
        </is>
      </c>
      <c r="E26" s="77" t="inlineStr">
        <is>
          <t>H.1</t>
        </is>
      </c>
      <c r="F26" s="77" t="inlineStr">
        <is>
          <t>Sob demanda (uso real)</t>
        </is>
      </c>
      <c r="G26" s="77" t="inlineStr">
        <is>
          <t>Claude</t>
        </is>
      </c>
      <c r="H26" s="77" t="inlineStr">
        <is>
          <t>A4 H2</t>
        </is>
      </c>
      <c r="I26" s="77" t="inlineStr">
        <is>
          <t>[2026-10-15] G1 aprovado pelo usuário; construção segue o fluxograma docs/flowchart driver.drawio. [2026-10-15] Esqueleto: firmware-helper/Gating.c. [2026-10-15] Código escrito (R52/H13): Gating.c (sleep via IORegisterForSystemPower, usuário do console via SCDynamicStore, re-walk em wake/login; MAFirmwareStart agora gated). Compila limpo no Mac de desenvolvimento e no PC de build; não executado. Aceite no teste integrado. [2026-10-17] [2026-10-17] Ainda não exercitado (sem teste de sleep/logout). Usa o usuário do console corretamente nos commits (arquivo criado com dono do usuário). [2026-10-21] Sleep/logout não testado. Política R123 (usuário): sem testes formais; só se o uso real mostrar problema.</t>
        </is>
      </c>
    </row>
    <row r="27">
      <c r="A27" s="77" t="inlineStr">
        <is>
          <t>H.4</t>
        </is>
      </c>
      <c r="B27" s="77" t="inlineStr">
        <is>
          <t>H</t>
        </is>
      </c>
      <c r="C27" s="77" t="inlineStr">
        <is>
          <t>Reaplicar ajustes salvos (persistência do helper)</t>
        </is>
      </c>
      <c r="D27" s="77" t="inlineStr">
        <is>
          <t>Ajustes voltam após reiniciar o helper (comparar com captura 71)</t>
        </is>
      </c>
      <c r="E27" s="77" t="inlineStr">
        <is>
          <t>H.1; M-E</t>
        </is>
      </c>
      <c r="F27" s="77" t="inlineStr">
        <is>
          <t>Concluído</t>
        </is>
      </c>
      <c r="G27" s="77" t="inlineStr">
        <is>
          <t>Claude</t>
        </is>
      </c>
      <c r="H27" s="77" t="inlineStr">
        <is>
          <t>A4 H11</t>
        </is>
      </c>
      <c r="I27" s="77" t="inlineStr">
        <is>
          <t>[2026-10-15] G1 aprovado pelo usuário; construção segue o fluxograma docs/flowchart driver.drawio. [2026-10-15] Esqueleto: firmware-helper/Settings.c. [2026-10-15] Código escrito (R52/H13): Settings.c (porta de notificação tipo 0, merge, commit 4 s sob o usuário do console, replay com um setProperties, seed por MAMetaAllProperties). Compila limpo no Mac de desenvolvimento e no PC de build; não executado. Aceite no teste integrado. [2026-10-17] [2026-10-17, R57] Helper H.4 instalado e verificado no build PC: arquivo com.m-audio.device-settings.firewire (0600, dono = usuário do console, chave D6C040012337F, as mesmas 36 chaves graváveis), replay após reload do kext com o painel fechado (níveis -20 restaurados sozinhos). Painel deixou de salvar o próprio 'last settings' (duplicava a persistência).</t>
        </is>
      </c>
    </row>
    <row r="28">
      <c r="A28" s="77" t="inlineStr">
        <is>
          <t>H.5</t>
        </is>
      </c>
      <c r="B28" s="77" t="inlineStr">
        <is>
          <t>H</t>
        </is>
      </c>
      <c r="C28" s="77" t="inlineStr">
        <is>
          <t>Hand-off da UI de status sob o usuário do console</t>
        </is>
      </c>
      <c r="D28" s="77" t="inlineStr">
        <is>
          <t>UI de status abre durante atualização, sem system()+sudo</t>
        </is>
      </c>
      <c r="E28" s="77" t="inlineStr">
        <is>
          <t>H.2</t>
        </is>
      </c>
      <c r="F28" s="77" t="inlineStr">
        <is>
          <t>Cancelado (corte de escopo)</t>
        </is>
      </c>
      <c r="G28" s="77" t="inlineStr">
        <is>
          <t>Claude</t>
        </is>
      </c>
      <c r="H28" s="77" t="inlineStr">
        <is>
          <t>A4 H2 Finding 3; H5</t>
        </is>
      </c>
      <c r="I28" s="77" t="inlineStr">
        <is>
          <t>[2026-10-15] Dependia de H.2 (UI de status durante atualização); cancelado junto.</t>
        </is>
      </c>
    </row>
    <row r="29">
      <c r="A29" s="77" t="inlineStr">
        <is>
          <t>H.6</t>
        </is>
      </c>
      <c r="B29" s="77" t="inlineStr">
        <is>
          <t>H</t>
        </is>
      </c>
      <c r="C29" s="77" t="inlineStr">
        <is>
          <t>Empacotamento do LaunchDaemon</t>
        </is>
      </c>
      <c r="D29" s="77" t="inlineStr">
        <is>
          <t>launchctl carrega/descarrega limpo</t>
        </is>
      </c>
      <c r="E29" s="77" t="inlineStr">
        <is>
          <t>H.1</t>
        </is>
      </c>
      <c r="F29" s="77" t="inlineStr">
        <is>
          <t>Concluído</t>
        </is>
      </c>
      <c r="G29" s="77" t="inlineStr">
        <is>
          <t>Claude</t>
        </is>
      </c>
      <c r="H29" s="77" t="inlineStr">
        <is>
          <t>A4 H7</t>
        </is>
      </c>
      <c r="I29" s="77" t="inlineStr">
        <is>
          <t>[2026-10-15] plist com.openaudio.fw1814.helper.plist + scripts/install.sh e uninstall.sh escritos; carga no boot verificada; descarga limpa ainda não verificada. [2026-10-17] [2026-10-17] launchctl load/unload limpos várias vezes; helper reiniciado sem problema. Bug achado: o helper não largava o dispositivo na terminação (kextunload exit 3) - corrigido; install.sh/uninstall.sh param o helper antes e repetem o unload.</t>
        </is>
      </c>
    </row>
    <row r="30">
      <c r="A30" s="77" t="inlineStr">
        <is>
          <t>PN.1</t>
        </is>
      </c>
      <c r="B30" s="77" t="inlineStr">
        <is>
          <t>PN</t>
        </is>
      </c>
      <c r="C30" s="77" t="inlineStr">
        <is>
          <t>Wireframe do painel aprovado</t>
        </is>
      </c>
      <c r="D30" s="77" t="inlineStr">
        <is>
          <t>Você assina o wireframe</t>
        </is>
      </c>
      <c r="E30" s="77" t="inlineStr">
        <is>
          <t>—</t>
        </is>
      </c>
      <c r="F30" s="77" t="inlineStr">
        <is>
          <t>Concluído</t>
        </is>
      </c>
      <c r="G30" s="77" t="inlineStr">
        <is>
          <t>Você</t>
        </is>
      </c>
      <c r="H30" s="77" t="inlineStr">
        <is>
          <t>BUILD-PLAN §4</t>
        </is>
      </c>
      <c r="I30" s="77" t="inlineStr">
        <is>
          <t>Pendente desde a Parte D 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Wireframe aprovado pelo usuário (docs/system-map/A2-panel/PN1-wireframe.html + P12-panel-screens-v19.md). Regras: estado do painel derivado da tabela de canais do dispositivo; S/MUX automático em 88.2/96; 176.4/192 = 2 in/4 out analógico, digital desligado. [2026-10-16] App entry: AppDelegate (hot-plug, menu, janela de espera) + main.swift; abre/fecha sem erro no build PC sem kext.</t>
        </is>
      </c>
    </row>
    <row r="31">
      <c r="A31" s="77" t="inlineStr">
        <is>
          <t>PN.2</t>
        </is>
      </c>
      <c r="B31" s="77" t="inlineStr">
        <is>
          <t>PN</t>
        </is>
      </c>
      <c r="C31" s="77" t="inlineStr">
        <is>
          <t>Mapa de paridade: cada controle da referência e cada chave MA* (46)</t>
        </is>
      </c>
      <c r="D31" s="77" t="inlineStr">
        <is>
          <t>Checklist 100% mapeado e revisado por você</t>
        </is>
      </c>
      <c r="E31" s="77" t="inlineStr">
        <is>
          <t>PN.1; Q-MAMAP</t>
        </is>
      </c>
      <c r="F31" s="77" t="inlineStr">
        <is>
          <t>Concluído</t>
        </is>
      </c>
      <c r="G31" s="77" t="inlineStr">
        <is>
          <t>Claude + Você</t>
        </is>
      </c>
      <c r="H31" s="77" t="inlineStr">
        <is>
          <t>A2-P3; Q-MAMAP</t>
        </is>
      </c>
      <c r="I31" s="77" t="inlineStr">
        <is>
          <t>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Mapa controle-&gt;chave em docs/system-map/A2-panel/PN2-control-key-map.md + MaKeys.swift (54 chaves, nao 46). Aguarda sua revisao; 6 itens em aberto listados no doc. [2026-10-16] Itens 1-5 abertos fechados por decompilacao do tradutor do painel (R53, P13). Restam 5 itens menores (P13 §7). [2026-10-16] Mapa PN2 + MaKeys.swift (54 chaves); itens 1-5 abertos fechados pelo decompile do tradutor (R53, P13). Revisão do usuário: pendente (aceite 'revisado por você').</t>
        </is>
      </c>
    </row>
    <row r="32">
      <c r="A32" s="77" t="inlineStr">
        <is>
          <t>PN.3</t>
        </is>
      </c>
      <c r="B32" s="77" t="inlineStr">
        <is>
          <t>PN</t>
        </is>
      </c>
      <c r="C32" s="77" t="inlineStr">
        <is>
          <t>Mixer e roteamento (22×4 + 22×2, faders, pan, mute, solo, aux)</t>
        </is>
      </c>
      <c r="D32" s="77" t="inlineStr">
        <is>
          <t>Cada escrita chega ao kext como propriedade e, onde decodificado, ao fio (comparar com captura SL)</t>
        </is>
      </c>
      <c r="E32" s="77" t="inlineStr">
        <is>
          <t>PN.2; M-E</t>
        </is>
      </c>
      <c r="F32" s="77" t="inlineStr">
        <is>
          <t>Concluído</t>
        </is>
      </c>
      <c r="G32" s="77" t="inlineStr">
        <is>
          <t>Claude</t>
        </is>
      </c>
      <c r="H32" s="77" t="inlineStr">
        <is>
          <t>C4 §8–9</t>
        </is>
      </c>
      <c r="I32" s="77" t="inlineStr">
        <is>
          <t>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Mixer/Output: StripView, MixerView, OutputView, DeviceModel (nível/link/balanço/roteamento), ChannelLayout; tipado no build PC, make test OK; sem execução em hardware (R54, P14). [2026-10-16] Casca pronta: PanelWindowController; mixer/output renderizam em modo demo (snapshots em A2-panel/clone-snapshots). [2026-10-16] Redesign visual (escuro minimalista, inspirado no Audient EVO) aprovado pelo usuário em modo demo; knob do level controller ligado (MAMetaVirtualRotateDataKnob), janelas centralizadas, tamanho da janela por aba (P14). [2026-10-16 1º teste integrado] Painel funcionando no aparelho real; escrita ao vivo a cada 40 ms (F5); balanço separado dos faders (F6). [2026-10-21] Funciona no hardware (0.1.0 e 0.2.x, uso diário do usuário até 2026-10-21).</t>
        </is>
      </c>
    </row>
    <row r="33">
      <c r="A33" s="77" t="inlineStr">
        <is>
          <t>PN.4</t>
        </is>
      </c>
      <c r="B33" s="77" t="inlineStr">
        <is>
          <t>PN</t>
        </is>
      </c>
      <c r="C33" s="77" t="inlineStr">
        <is>
          <t>Medidores de pico (página uint32 peak[52])</t>
        </is>
      </c>
      <c r="D33" s="77" t="inlineStr">
        <is>
          <t>Medidores seguem sinal de teste como a referência (comparar com captura)</t>
        </is>
      </c>
      <c r="E33" s="77" t="inlineStr">
        <is>
          <t>M-F</t>
        </is>
      </c>
      <c r="F33" s="77" t="inlineStr">
        <is>
          <t>Concluído</t>
        </is>
      </c>
      <c r="G33" s="77" t="inlineStr">
        <is>
          <t>Claude</t>
        </is>
      </c>
      <c r="H33" s="77" t="inlineStr">
        <is>
          <t>Q-UC-surface §3</t>
        </is>
      </c>
      <c r="I33" s="77" t="inlineStr">
        <is>
          <t>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Medidores: IOKitBridge (página compartilhada), peakToDB, mapa de slots, BusStrip/BusMeterPanel; janelas de mini medidores ainda não escritas. [2026-10-16] Janelas de mini medidores (largo/estreito) escritas e renderizadas em modo demo; slots de pico ainda sem teste com sinal real. [2026-10-16] Medidores LED com peak hold e clip; mini medidores agrupados (Analog/ADAT/S/PDIF), ADAT 5-8 acinzentados em 88.2/96. [2026-10-16 1º teste integrado] Medidores funcionando no hardware após F3. [2026-10-17] R76: meters no longer freeze after audio stops (kext fix); verified by the user on the Air. [2026-10-21] Funciona no hardware (0.1.0 e 0.2.x, uso diário do usuário até 2026-10-21).</t>
        </is>
      </c>
    </row>
    <row r="34">
      <c r="A34" s="77" t="inlineStr">
        <is>
          <t>PN.5</t>
        </is>
      </c>
      <c r="B34" s="77" t="inlineStr">
        <is>
          <t>PN</t>
        </is>
      </c>
      <c r="C34" s="77" t="inlineStr">
        <is>
          <t>Aba Hardware: clock composto, S/PDIF, óptica, S/MUX, AC3, stereo-pair, buffer, taxa</t>
        </is>
      </c>
      <c r="D34" s="77" t="inlineStr">
        <is>
          <t>Cada widget faz leitura-modificação-escrita do bit certo do MAClockSource (Q-CLOCK-UI)</t>
        </is>
      </c>
      <c r="E34" s="77" t="inlineStr">
        <is>
          <t>PN.2; M-E</t>
        </is>
      </c>
      <c r="F34" s="77" t="inlineStr">
        <is>
          <t>Concluído</t>
        </is>
      </c>
      <c r="G34" s="77" t="inlineStr">
        <is>
          <t>Claude</t>
        </is>
      </c>
      <c r="H34" s="77" t="inlineStr">
        <is>
          <t>A2 P-ClockUI-encoding</t>
        </is>
      </c>
      <c r="I34" s="77" t="inlineStr">
        <is>
          <t>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Aba Hardware (RMW do MAClockSource, sincronismo, folha A/B) e About (MAFirmwareInfo, links); S/MUX automático e greying por taxa seguem o dispositivo (P12). [2026-10-16] Texto A/B ao vivo (MAMomentarySwitchRoutings[1]/[2]); foto do painel frontal na aba About (Resources/fw1814-front.png, original em docs/images). [2026-10-16 1º teste integrado] Aba About mostra dados reais; A/B usa entradas 0/1 (F7, não verificado). [2026-10-21] Funciona no hardware (0.1.0 e 0.2.x, uso diário do usuário até 2026-10-21).</t>
        </is>
      </c>
    </row>
    <row r="35">
      <c r="A35" s="77" t="inlineStr">
        <is>
          <t>PN.6</t>
        </is>
      </c>
      <c r="B35" s="77" t="inlineStr">
        <is>
          <t>PN</t>
        </is>
      </c>
      <c r="C35" s="77" t="inlineStr">
        <is>
          <t>Notificações do user client e multi-interface na UI</t>
        </is>
      </c>
      <c r="D35" s="77" t="inlineStr">
        <is>
          <t>Troca de propriedades refletida; várias unidades listadas</t>
        </is>
      </c>
      <c r="E35" s="77" t="inlineStr">
        <is>
          <t>M-F; M-K</t>
        </is>
      </c>
      <c r="F35" s="77" t="inlineStr">
        <is>
          <t>Concluído</t>
        </is>
      </c>
      <c r="G35" s="77" t="inlineStr">
        <is>
          <t>Claude</t>
        </is>
      </c>
      <c r="H35" s="77" t="inlineStr">
        <is>
          <t>Q-UC-surface</t>
        </is>
      </c>
      <c r="I35" s="77" t="inlineStr">
        <is>
          <t>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IOKitBridge: descoberta com hot-plug, propriedades de registro, porta de notificação, página de picos; não executado em hardware. [2026-10-16] Várias interfaces: menu de dispositivo no cabeçalho + menu Device na barra (como o painel de referência); testado só com 2 dispositivos simulados. [2026-10-16 1º teste integrado] Descoberta, leitura via MAMetaAllProperties (F2), escrita e notificações verificadas; instância única (F9). [2026-10-21] Duas unidades reais (1814 + Audiophile) no painel 0.2.0 (R117).</t>
        </is>
      </c>
    </row>
    <row r="36">
      <c r="A36" s="77" t="inlineStr">
        <is>
          <t>PN.7</t>
        </is>
      </c>
      <c r="B36" s="77" t="inlineStr">
        <is>
          <t>PN</t>
        </is>
      </c>
      <c r="C36" s="77" t="inlineStr">
        <is>
          <t>Modernização visual (modo escuro, atalhos, presets) sem perder capacidade</t>
        </is>
      </c>
      <c r="D36" s="77" t="inlineStr">
        <is>
          <t>Nenhuma regressão no checklist de paridade</t>
        </is>
      </c>
      <c r="E36" s="77" t="inlineStr">
        <is>
          <t>PN.2</t>
        </is>
      </c>
      <c r="F36" s="77" t="inlineStr">
        <is>
          <t>Concluído</t>
        </is>
      </c>
      <c r="G36" s="77" t="inlineStr">
        <is>
          <t>Claude</t>
        </is>
      </c>
      <c r="H36" s="77" t="inlineStr">
        <is>
          <t>Escopo (paridade total + UI moderna)</t>
        </is>
      </c>
      <c r="I36" s="77" t="inlineStr">
        <is>
          <t>[2026-10-15] G1 aprovado pelo usuário; construção segue o fluxograma docs/flowchart driver.drawio. [2026-10-15] Esqueleto: control-panel/Sources/*.swift (AppDelegate, MaKeys, MixerView, MetersView, HardwareTab, IOKitBridge, Presets). Nada compilável ainda; wireframe (PN.1) é seu. [2026-10-16] Presets (plist), barra lateral, rádios de atribuição do encoder; casca do app (janela, main.swift, Info.plist) pendente. [2026-10-16] Casca do app (janela, menu, main.swift, Info.plist, make app) pronta; app não assinado (IN.6). [2026-10-16] Menus View (⌘1-⌘4) e Device; aparência aprovada pelo usuário; falta ligar ao hardware (teste integrado). [2026-10-21] Painel 0.2.x (menu de status, medidor grande, GPU) em uso (R118-R123).</t>
        </is>
      </c>
    </row>
    <row r="37">
      <c r="A37" s="77" t="inlineStr">
        <is>
          <t>IN.1</t>
        </is>
      </c>
      <c r="B37" s="77" t="inlineStr">
        <is>
          <t>IN</t>
        </is>
      </c>
      <c r="C37" s="77" t="inlineStr">
        <is>
          <t>Checagem de assinatura/SIP LIGADO (csrutil status, kextutil -n -t com SIP ligado)</t>
        </is>
      </c>
      <c r="D37" s="77" t="inlineStr">
        <is>
          <t>Sabe-se se o kext assinado carrega com SIP ligado</t>
        </is>
      </c>
      <c r="E37" s="77" t="inlineStr">
        <is>
          <t>—</t>
        </is>
      </c>
      <c r="F37" s="77" t="inlineStr">
        <is>
          <t>Cancelado (corte de escopo)</t>
        </is>
      </c>
      <c r="G37" s="77" t="inlineStr">
        <is>
          <t>Você (Recovery)</t>
        </is>
      </c>
      <c r="H37" s="77" t="inlineStr">
        <is>
          <t>B3.2</t>
        </is>
      </c>
      <c r="I37" s="77" t="inlineStr">
        <is>
          <t>[2026-10-15] G1 aprovado pelo usuário; construção segue o fluxograma docs/flowchart driver.drawio. [2026-10-17] R73: decisão do usuário - projeto homebrew, sempre sem assinatura, exige SIP desligado; teste com SIP ligado fora do escopo.</t>
        </is>
      </c>
    </row>
    <row r="38">
      <c r="A38" s="77" t="inlineStr">
        <is>
          <t>IN.2</t>
        </is>
      </c>
      <c r="B38" s="77" t="inlineStr">
        <is>
          <t>IN</t>
        </is>
      </c>
      <c r="C38" s="77" t="inlineStr">
        <is>
          <t>Harness de verificação com o oráculo do SL (P6)</t>
        </is>
      </c>
      <c r="D38" s="77" t="inlineStr">
        <is>
          <t>Script compara pacotes/quadros/escritas do clone com as capturas de referência</t>
        </is>
      </c>
      <c r="E38" s="77" t="inlineStr">
        <is>
          <t>P6</t>
        </is>
      </c>
      <c r="F38" s="77" t="inlineStr">
        <is>
          <t>Sob demanda (uso real)</t>
        </is>
      </c>
      <c r="G38" s="77" t="inlineStr">
        <is>
          <t>Claude</t>
        </is>
      </c>
      <c r="H38" s="77" t="inlineStr">
        <is>
          <t>BUILD-PLAN §2 P6</t>
        </is>
      </c>
      <c r="I38" s="77" t="inlineStr">
        <is>
          <t>[2026-10-15] G1 aprovado pelo usuário; construção segue o fluxograma docs/flowchart driver.drawio. [2026-10-15] Esqueleto: tests/oracle/compare.py. [2026-10-21] Harness do oráculo dispensado (sem testes formais). Política R123 (usuário): sem testes formais; só se o uso real mostrar problema.</t>
        </is>
      </c>
    </row>
    <row r="39">
      <c r="A39" s="77" t="inlineStr">
        <is>
          <t>IN.3</t>
        </is>
      </c>
      <c r="B39" s="77" t="inlineStr">
        <is>
          <t>IN</t>
        </is>
      </c>
      <c r="C39" s="77" t="inlineStr">
        <is>
          <t>Escada de validação em hardware por marco (stage em /tmp → kextutil -n -t → carregar)</t>
        </is>
      </c>
      <c r="D39" s="77" t="inlineStr">
        <is>
          <t>Cada marco passa seu critério antes do próximo; nunca /Library/Extensions sem teste de staging</t>
        </is>
      </c>
      <c r="E39" s="77" t="inlineStr">
        <is>
          <t>M-*</t>
        </is>
      </c>
      <c r="F39" s="77" t="inlineStr">
        <is>
          <t>Concluído</t>
        </is>
      </c>
      <c r="G39" s="77" t="inlineStr">
        <is>
          <t>Claude + Você presente</t>
        </is>
      </c>
      <c r="H39" s="77" t="inlineStr">
        <is>
          <t>BUILD-PLAN §3</t>
        </is>
      </c>
      <c r="I39" s="77" t="inlineStr">
        <is>
          <t>[2026-10-15] G1 aprovado pelo usuário; construção segue o fluxograma docs/flowchart driver.drawio. [2026-10-15] Esqueleto: tests/hw-smoke/integrated.sh. Regra do avião: este é o ÚNICO teste de hardware integrado; sem testes parciais. [2026-10-16] Roteiro tests/hw-smoke/integrated.sh escrito (13 passos, --preflight rodado no build PC); falta a execução com você presente. [2026-10-16 1º teste integrado] Primeira execução feita (passos 0-6 parcialmente); kextunload causou panic (HSCI em voo, corrigido F10 no código). Ver build-pc-runs/2026-10-16-first-integrated-run.md. [2026-10-17] R72: segundo Mac (MacBook Air via adaptador Thunderbolt-FireWire) funcionou com o pacote instalado. [2026-10-21] Corridas integradas 2026-10-16/17 e fase 7 (R115, R117).</t>
        </is>
      </c>
    </row>
    <row r="40">
      <c r="A40" s="77" t="inlineStr">
        <is>
          <t>IN.4</t>
        </is>
      </c>
      <c r="B40" s="77" t="inlineStr">
        <is>
          <t>IN</t>
        </is>
      </c>
      <c r="C40" s="77" t="inlineStr">
        <is>
          <t>Execução completa do checklist de paridade (T6)</t>
        </is>
      </c>
      <c r="D40" s="77" t="inlineStr">
        <is>
          <t>100% dos itens</t>
        </is>
      </c>
      <c r="E40" s="77" t="inlineStr">
        <is>
          <t>PN.*; M-*</t>
        </is>
      </c>
      <c r="F40" s="77" t="inlineStr">
        <is>
          <t>Sob demanda (uso real)</t>
        </is>
      </c>
      <c r="G40" s="77" t="inlineStr">
        <is>
          <t>Claude + Você</t>
        </is>
      </c>
      <c r="H40" s="77" t="inlineStr">
        <is>
          <t>BUILD-PLAN §3</t>
        </is>
      </c>
      <c r="I40" s="77" t="inlineStr">
        <is>
          <t>[2026-10-15] G1 aprovado pelo usuário; construção segue o fluxograma docs/flowchart driver.drawio. [2026-10-21] Checklist formal de paridade dispensado. Política R123 (usuário): sem testes formais; só se o uso real mostrar problema.</t>
        </is>
      </c>
    </row>
    <row r="41">
      <c r="A41" s="77" t="inlineStr">
        <is>
          <t>IN.5</t>
        </is>
      </c>
      <c r="B41" s="77" t="inlineStr">
        <is>
          <t>IN</t>
        </is>
      </c>
      <c r="C41" s="77" t="inlineStr">
        <is>
          <t>Pacote .pkg: helper, painel, kext com gate de postinstall kextutil -n -t; desinstalação limpa</t>
        </is>
      </c>
      <c r="D41" s="77" t="inlineStr">
        <is>
          <t>Instala e desinstala em máquina limpa</t>
        </is>
      </c>
      <c r="E41" s="77" t="inlineStr">
        <is>
          <t>IN.1; M-*; H.*; PN.*</t>
        </is>
      </c>
      <c r="F41" s="77" t="inlineStr">
        <is>
          <t>Concluído</t>
        </is>
      </c>
      <c r="G41" s="77" t="inlineStr">
        <is>
          <t>Claude</t>
        </is>
      </c>
      <c r="H41" s="77" t="inlineStr">
        <is>
          <t>BUILD-PLAN §4</t>
        </is>
      </c>
      <c r="I41" s="77" t="inlineStr">
        <is>
          <t>[2026-10-15] G1 aprovado pelo usuário; construção segue o fluxograma docs/flowchart driver.drawio. [2026-10-15] Esqueleto: installer/build-pkg.sh. scripts/install.sh e uninstall.sh já funcionam no build PC (kext + daemon). [2026-10-17] R59: pacote .pkg não assinado montado no build PC (installer/make-pkg.sh): kext, helper+LaunchDaemon, painel, plug-in MIDI da referência, ícones, uninstall.sh; postinstall com portão kextutil -t -n. Instalado e atualizado no build PC (kext carrega de /Library/Extensions, helper roda, painel abre de /Applications, MIDI com ícone). Bug achado: bundles relocáveis/version-checked do pkgbuild (corrigido). Falta: máquina limpa, SIP ligado, aprovação do kext, reboot, teste do uninstall.sh. [2026-10-17] R69: imagem .dmg (instalador .pkg + app desinstalador, layout personalizado) via installer/make-dmg.sh; pkg com a correção de formato reinstalado no build PC; janela do desinstalador verificada; falta: botão Uninstall (senha de admin), máquina limpa, reboot, assinatura (IN.6). [2026-10-17] R72: imagem .dmg 0.1.0 reconstruída (runtime Swift embutido) instalada em um 2º Mac limpo (MacBook Air, 10.13.6, SIP desligado) via adaptador Thunderbolt-FireWire: instalou, reiniciou, driver carregou, painel abriu e funcionou (relato do usuário). Falta: SIP ligado / assinatura (IN.1, IN.6), botão Uninstall. [2026-10-17] 2026-10-17 pkg+dmg rebuilt with R75+R76 (kext FC8AD9DA), sha256 dmg 473dce40...3422, self-contained checks passed; not installed from this image yet; release asset to be replaced by the user. [2026-10-21] Pacote 0.2.2 instalado por atualização no Air; desinstalador funciona (R122, R123).</t>
        </is>
      </c>
    </row>
    <row r="42" s="21">
      <c r="A42" s="77" t="inlineStr">
        <is>
          <t>IN.6</t>
        </is>
      </c>
      <c r="B42" s="77" t="inlineStr">
        <is>
          <t>IN</t>
        </is>
      </c>
      <c r="C42" s="77" t="inlineStr">
        <is>
          <t>Assinatura Developer ID e instruções de aprovação de kext (UAKEL)</t>
        </is>
      </c>
      <c r="D42" s="77" t="inlineStr">
        <is>
          <t>Pacote assinado instalável sem avisos inesperados</t>
        </is>
      </c>
      <c r="E42" s="77" t="inlineStr">
        <is>
          <t>IN.1; Developer ID</t>
        </is>
      </c>
      <c r="F42" s="77" t="inlineStr">
        <is>
          <t>Cancelado (corte de escopo)</t>
        </is>
      </c>
      <c r="G42" s="77" t="inlineStr">
        <is>
          <t>Você + Claude</t>
        </is>
      </c>
      <c r="H42" s="77" t="inlineStr">
        <is>
          <t>B3.2</t>
        </is>
      </c>
      <c r="I42" s="77" t="inlineStr">
        <is>
          <t>[2026-10-15] G1 aprovado pelo usuário; construção segue o fluxograma docs/flowchart driver.drawio. [2026-10-15] Esqueleto: installer/sign.sh. [2026-10-17] R73: decisão do usuário - sem assinatura Developer ID nem notarização, nunca.</t>
        </is>
      </c>
    </row>
    <row r="43" s="21">
      <c r="A43" s="77" t="inlineStr">
        <is>
          <t>M-N</t>
        </is>
      </c>
      <c r="B43" s="77" t="inlineStr">
        <is>
          <t>M</t>
        </is>
      </c>
      <c r="C43" s="77" t="inlineStr">
        <is>
          <t>Controles visíveis ao CoreAudio: volume/mute por canal, volume e chave de monitoração direta e controle de clock source (IOAudioControl), ligando FWBaseProp::Establish* às propriedades MA*Levels/Mute</t>
        </is>
      </c>
      <c r="D43" s="77" t="inlineStr">
        <is>
          <t>Audio MIDI Setup mostra os controles de volume/mute e o popup Clock source como o painel de referência; mudar um valor no CoreAudio atualiza a propriedade MA* e vice-versa</t>
        </is>
      </c>
      <c r="E43" s="77" t="inlineStr">
        <is>
          <t>M-E; M-D</t>
        </is>
      </c>
      <c r="F43" s="77" t="inlineStr">
        <is>
          <t>Cancelado (já implementado)</t>
        </is>
      </c>
      <c r="G43" s="77" t="inlineStr">
        <is>
          <t>Claude</t>
        </is>
      </c>
      <c r="H43" s="77" t="inlineStr">
        <is>
          <t>INTEGRATION-READINESS G1; Q-ME</t>
        </is>
      </c>
      <c r="I43" s="77" t="inlineStr">
        <is>
          <t>[2026-10-16] Auditoria: FWPropertyDict.cpp tem Establish* mas ninguém chama; FWSettingsLevels::Init de referência cria os controles (decomp FWSettingsLevels__Init.c). [2026-10-16] Falso positivo da auditoria: os controles de volume/mute por canal, o master e o mute global JÁ são criados em FWSettingsLevels::Init (FWSettings.cpp); o binário de referência não tem chamador para os criadores de monitoração direta e clock source, então o FW1814 também não tem.</t>
        </is>
      </c>
    </row>
    <row r="44" s="21">
      <c r="A44" s="77" t="inlineStr">
        <is>
          <t>M-O</t>
        </is>
      </c>
      <c r="B44" s="77" t="inlineStr">
        <is>
          <t>M</t>
        </is>
      </c>
      <c r="C44" s="77" t="inlineStr">
        <is>
          <t>Troca de taxa com cliente tocando: porta (recusar com ocupado ou adiar até ficar ocioso) no kext</t>
        </is>
      </c>
      <c r="D44" s="77" t="inlineStr">
        <is>
          <t>Mudar MASampleRate com um app tocando não derruba o kext (o painel v1.9 de referência derruba)</t>
        </is>
      </c>
      <c r="E44" s="77" t="inlineStr">
        <is>
          <t>M-D</t>
        </is>
      </c>
      <c r="F44" s="77" t="inlineStr">
        <is>
          <t>Sob demanda (uso real)</t>
        </is>
      </c>
      <c r="G44" s="77" t="inlineStr">
        <is>
          <t>Claude</t>
        </is>
      </c>
      <c r="H44" s="77" t="inlineStr">
        <is>
          <t>INTEGRATION-READINESS G2; memória project_v19_rate_change_while_streaming_panics</t>
        </is>
      </c>
      <c r="I44" s="77" t="inlineStr">
        <is>
          <t>[2026-10-16] Hoje setProperties aplica a taxa na hora (FWAudioDeviceProps.cpp:108-120). [2026-10-16] Implementado em FWAudioDeviceProps.cpp: MASampleRate é ignorado (e a taxa atual é republicada) enquanto o engine principal não está parado; validado só estaticamente (kextutil -t -n OK). [2026-10-16 1º teste integrado] Porta refinada: só bloqueia com engine rodando E clientes ativos (F8). [2026-10-17] [2026-10-17] Capturas 78/80: o kext oficial também mantém o MASampleRate antigo e derruba MARateLocked após escrita pelo painel; o painel oficial mantém a taxa escolhida em vermelho. No clone o painel reverte para a taxa do kext (abre PN.8). Via CoreAudio (AMS) MASampleRate agora acompanha em ~4-5 s com travado=1. [2026-10-21] Porta só na troca de taxa do painel; troca iniciada pelo CoreAudio com cliente tocando não travada (known issue 1). Política R123 (usuário): sem testes formais; só se o uso real mostrar problema.</t>
        </is>
      </c>
    </row>
    <row r="45" s="21">
      <c r="A45" s="77" t="inlineStr">
        <is>
          <t>M-P</t>
        </is>
      </c>
      <c r="B45" s="77" t="inlineStr">
        <is>
          <t>M</t>
        </is>
      </c>
      <c r="C45" s="77" t="inlineStr">
        <is>
          <t>Limpeza de stubs e comentários velhos: FWAc3, FWEngine1, midi-plugin/Sources, comentário de lacunas em FWSettings.h</t>
        </is>
      </c>
      <c r="D45" s="77" t="inlineStr">
        <is>
          <t>Nenhum arquivo de esqueleto enganoso; comentários batem com o código</t>
        </is>
      </c>
      <c r="E45" s="77" t="inlineStr">
        <is>
          <t>M-I; M-H2</t>
        </is>
      </c>
      <c r="F45" s="77" t="inlineStr">
        <is>
          <t>Concluído</t>
        </is>
      </c>
      <c r="G45" s="77" t="inlineStr">
        <is>
          <t>Claude</t>
        </is>
      </c>
      <c r="H45" s="77" t="inlineStr">
        <is>
          <t>INTEGRATION-READINESS G4</t>
        </is>
      </c>
      <c r="I45" s="77" t="inlineStr">
        <is>
          <t>[2026-10-16] AC3 vive em FWEngine2; FWEngine1 não é usado no FW1814; roteamento AV/C e aux pan já estão em FWMixer.cpp. [2026-10-16] Removidos FWAc3.*, FWEngine1.* e midi-plugin/Sources/*; comentários de FWSettings.h/.cpp corrigidos.</t>
        </is>
      </c>
    </row>
    <row r="46" s="21">
      <c r="A46" s="77" t="inlineStr">
        <is>
          <t>IN.7</t>
        </is>
      </c>
      <c r="B46" s="77" t="inlineStr">
        <is>
          <t>IN</t>
        </is>
      </c>
      <c r="C46" s="77" t="inlineStr">
        <is>
          <t>Script de conformidade painel↔kext↔system-map (docs/CONFORMANCE.md + conformance-check.sh)</t>
        </is>
      </c>
      <c r="D46" s="77" t="inlineStr">
        <is>
          <t>Chaves, tamanhos de array, classe de matching e mapa de picos do painel conferem com o kext; falha lista as diferenças</t>
        </is>
      </c>
      <c r="E46" s="77" t="inlineStr">
        <is>
          <t>PN.2; M-E; M-F</t>
        </is>
      </c>
      <c r="F46" s="77" t="inlineStr">
        <is>
          <t>Concluído</t>
        </is>
      </c>
      <c r="G46" s="77" t="inlineStr">
        <is>
          <t>Claude</t>
        </is>
      </c>
      <c r="H46" s="77" t="inlineStr">
        <is>
          <t>BUILD-PLAN §0; INTEGRATION-READINESS G5</t>
        </is>
      </c>
      <c r="I46" s="77" t="inlineStr">
        <is>
          <t>[2026-10-16] Verificação manual de hoje: 54 chaves do painel = chaves do kext. [2026-10-16] scripts/conformance-check.sh + docs/CONFORMANCE.md: passa (0 falhas); achou MAMonitorAuxOnOutput = 3 elementos (não 10).</t>
        </is>
      </c>
    </row>
    <row r="47">
      <c r="A47" s="77" t="inlineStr">
        <is>
          <t>M-Q</t>
        </is>
      </c>
      <c r="B47" s="77" t="inlineStr">
        <is>
          <t>M</t>
        </is>
      </c>
      <c r="C47" s="77" t="inlineStr">
        <is>
          <t>Troca de formato óptico (S/PDIF&lt;-&gt;ADAT) e de taxa com streams rodando: parar os programas DCL antes de SetPacketSize como na referência (O1/O2)</t>
        </is>
      </c>
      <c r="D47" s="77" t="inlineStr">
        <is>
          <t>Trocar ADAT/S-PDIF e taxa com e sem áudio tocando sem travar; CoreAudio mostra os novos canais</t>
        </is>
      </c>
      <c r="E47" s="77" t="inlineStr">
        <is>
          <t>M-D; M-C</t>
        </is>
      </c>
      <c r="F47" s="77" t="inlineStr">
        <is>
          <t>Concluído</t>
        </is>
      </c>
      <c r="G47" s="77" t="inlineStr">
        <is>
          <t>Claude + Você presente</t>
        </is>
      </c>
      <c r="H47" s="77" t="inlineStr">
        <is>
          <t>build-pc-runs/2026-10-16-first-integrated-run.md O1</t>
        </is>
      </c>
      <c r="I47" s="77" t="inlineStr">
        <is>
          <t>[2026-10-16] dmesg: 'IsochStreamRunning during SetPacketSize'; diagnóstico LogStreamState adicionado. [2026-10-17] [2026-10-17, R56] Causa de O1: stopAudioEngine chamava pauseAudioEngine em vez de performAudioEngineStop (asm 0x18dba..0x18dc0): contador de pausa [+0x234] vazava e a pausa virava no-op. Corrigido; troca S/PDIF&lt;-&gt;ADAT sob carga duplex (aduplex) sem IsochStreamRunning/travamento/panic; CoreAudio 16/12 &lt;-&gt; 10/6 em ~8 s; painel acompanha. ABERTO: rótulo 'N ins / M outs' da barra lateral do Audio MIDI Setup continua 10/6 (painel direito atualiza); oficial no SL atualiza (capturas 76-78). Hipótese: o AMS 10.13 só monta o rótulo ao adicionar o dispositivo (verificar abrindo o AMS já em ADAT). [2026-10-17] R60: rótulo do AMS resolvido (M-S); troca S/PDIF&lt;-&gt;ADAT sob carga duplex sem travar, HAL e AMS acompanham.</t>
        </is>
      </c>
    </row>
    <row r="48" s="21">
      <c r="A48" s="77" t="inlineStr">
        <is>
          <t>M-R</t>
        </is>
      </c>
      <c r="B48" s="77" t="inlineStr">
        <is>
          <t>M</t>
        </is>
      </c>
      <c r="C48" s="77" t="inlineStr">
        <is>
          <t>Teardown seguro: nenhum comando FireWire assíncrono em voo no kextunload/stop (F10) e verificação de todos os caminhos de stop</t>
        </is>
      </c>
      <c r="D48" s="77" t="inlineStr">
        <is>
          <t>kextunload repetido com HSCI rodando e com áudio parado sem panic</t>
        </is>
      </c>
      <c r="E48" s="77" t="inlineStr">
        <is>
          <t>M-E</t>
        </is>
      </c>
      <c r="F48" s="77" t="inlineStr">
        <is>
          <t>Sob demanda (uso real)</t>
        </is>
      </c>
      <c r="G48" s="77" t="inlineStr">
        <is>
          <t>Claude + Você presente</t>
        </is>
      </c>
      <c r="H48" s="77" t="inlineStr">
        <is>
          <t>panic 2026-10-16-panic-kextunload.txt</t>
        </is>
      </c>
      <c r="I48" s="77" t="inlineStr">
        <is>
          <t>[2026-10-16] FWHsci retém referência durante a leitura e cancela no Release; compilado, não carregado. [2026-10-17] [2026-10-17] F10 revisado: o cancel() síncrono em FWHsci::Release travou o kextunload (não panic) - removido (retain da leitura já segura o kext; comando/buffer liberados em free()). 5 ciclos load/unload limpos com o poll HSCI ativo, 2 deles já com a FWAvcUnit + painel e AMS abertos (unit some e volta). Falta: unload com fila AV/C async ocupada; sleep/wake. [2026-10-21] 5 ciclos limpos (R56) e FreeHostPlugs (R117); instalador nunca descarrega. Política R123 (usuário): sem testes formais; só se o uso real mostrar problema.</t>
        </is>
      </c>
    </row>
    <row r="49" s="21">
      <c r="A49" s="77" t="inlineStr">
        <is>
          <t>M-S</t>
        </is>
      </c>
      <c r="B49" s="77" t="inlineStr">
        <is>
          <t>M</t>
        </is>
      </c>
      <c r="C49" s="77" t="inlineStr">
        <is>
          <t>Rótulo "N ins / M outs" da barra lateral do Audio MIDI Setup acompanha a troca S/PDIF&lt;-&gt;ADAT</t>
        </is>
      </c>
      <c r="D49" s="77" t="inlineStr">
        <is>
          <t>Após trocar para ADAT o AMS mostra 16 ins / 12 outs na barra lateral (e 10/6 ao voltar) sem reabrir o AMS, como o oficial no SL</t>
        </is>
      </c>
      <c r="E49" s="77" t="inlineStr">
        <is>
          <t>M-Q</t>
        </is>
      </c>
      <c r="F49" s="77" t="inlineStr">
        <is>
          <t>Cancelado (corte de escopo)</t>
        </is>
      </c>
      <c r="G49" s="77" t="inlineStr">
        <is>
          <t>Claude</t>
        </is>
      </c>
      <c r="H49" s="77" t="inlineStr">
        <is>
          <t>build-pc-runs/2026-10-16-first-integrated-run.md (2ª sessão); A1-ghidra/Q-AVC-unit-and-O1.md §3</t>
        </is>
      </c>
      <c r="I49" s="77" t="inlineStr">
        <is>
          <t>[2026-10-17] Painel direito do AMS atualiza ("12 ch", linhas ADAT) e o HAL reporta 16/12, mas o rótulo fica 10/6. Rajada de notificações do clone completa (captura 77); o AMS relê slay=16/12 (78); reselecionar, trocar taxa e alternar o dispositivo padrão não atualizam. Formato oficial (alinhamento 0 + extensão) aplicado sem efeito. Hipótese NÃO verificada: o rótulo só é montado ao adicionar o dispositivo - verificar abrindo o AMS já em ADAT; se confirmar, exigiria republicar o dispositivo no HAL (desvio documentado do 10.13). [2026-10-17] R58: usuário viu 16/12 no AMS com o dispositivo adicionado já em ADAT - apoia a hipótese; decisão pendente: republicar no HAL a cada troca óptica. [2026-10-17] R60/captura 83: re-publicação do engine a cada troca óptica que muda as contagens; HAL e barra lateral do AMS acompanham nos dois sentidos sem reabrir (16/12 e 16/6, capturas 83a/83b); controles pass-through reaparecem; envios MIDI continuam; sem panic. Desvio escolhido pelo usuário; custo: clientes CoreAudio perdem o dispositivo na troca. [2026-10-17] Decisão do usuário: seguir o driver oficial (pausar o stream, mudar o formato no lugar, retomar). A re-publicação do engine (R60, captura 83) corrige o rótulo mas derruba clientes ao vivo (reAMP congelou); fica desligada (kRepublishAtOpticalSwitch=false). Rótulo da barra lateral do AMS pode ficar desatualizado após a troca óptica.</t>
        </is>
      </c>
    </row>
    <row r="50" s="21">
      <c r="A50" s="77" t="inlineStr">
        <is>
          <t>PN.8</t>
        </is>
      </c>
      <c r="B50" s="77" t="inlineStr">
        <is>
          <t>PN</t>
        </is>
      </c>
      <c r="C50" s="77" t="inlineStr">
        <is>
          <t>Painel mantém a taxa escolhida (vermelho = destravado) até o kext reportar outra, como o painel oficial</t>
        </is>
      </c>
      <c r="D50" s="77" t="inlineStr">
        <is>
          <t>Escolher 96 kHz no painel: ele mostra 96 kHz em vermelho sem reverter para 44,1 enquanto o MASampleRate do kext não mudar; sincroniza sem clique quando o kext/AMS mudar a taxa</t>
        </is>
      </c>
      <c r="E50" s="77" t="inlineStr">
        <is>
          <t>PN.5; M-O</t>
        </is>
      </c>
      <c r="F50" s="77" t="inlineStr">
        <is>
          <t>Concluído</t>
        </is>
      </c>
      <c r="G50" s="77" t="inlineStr">
        <is>
          <t>Claude</t>
        </is>
      </c>
      <c r="H50" s="77" t="inlineStr">
        <is>
          <t>captura 80 (SL); P8-rate-and-buffer.md; Q-AVC-unit-and-O1 §4</t>
        </is>
      </c>
      <c r="I50" s="77" t="inlineStr">
        <is>
          <t>[2026-10-17] Bug reportado: ao mudar a taxa no painel ele volta para 44,1 e fica destravado; ao mudar no AMS o painel só ressincroniza com um clique. No SL o kext oficial também mantém o MASampleRate antigo e derruba MARateLocked após a escrita pelo painel, mas o painel oficial mostra a taxa escolhida em vermelho. Não reproduzido: painel em segundo plano após mudança pelo AMS acompanhou em ~20 s. [2026-10-17] [2026-10-17, R57] Taxa pelo CoreAudio como o painel de referência (P8 §6): escolha mostrada na hora, setNominalSampleRate: após 1 s, exibição segue o CoreAudio, cor do cadeado = MARateLocked. Ponte HALRate (casa o dispositivo pelo sufixo GUID do UID do HAL) + DeviceModel; 12 testes de host passando. Confirmado pelo usuário em teste manual ('solved!'). Não repetido por mim em hardware (meus comandos colidiram com o teste dele).</t>
        </is>
      </c>
    </row>
    <row r="51" s="21">
      <c r="A51" s="77" t="inlineStr">
        <is>
          <t>PN.9</t>
        </is>
      </c>
      <c r="B51" s="77" t="inlineStr">
        <is>
          <t>PN</t>
        </is>
      </c>
      <c r="C51" s="77" t="inlineStr">
        <is>
          <t>Segurança dos fones: limite de -86 ao abrir o painel e restauração dos últimos ajustes por interface (GUID)</t>
        </is>
      </c>
      <c r="D51" s="77" t="inlineStr">
        <is>
          <t>Ao abrir o painel os níveis de fone caem para &lt;= -86 antes de qualquer áudio; ajustes salvos (fontes de fone, A/B, níveis) voltam sozinhos; sem arquivo, A=out 1/2 e B=out 3/4</t>
        </is>
      </c>
      <c r="E51" s="77" t="inlineStr">
        <is>
          <t>PN.3; PN.5</t>
        </is>
      </c>
      <c r="F51" s="77" t="inlineStr">
        <is>
          <t>Concluído</t>
        </is>
      </c>
      <c r="G51" s="77" t="inlineStr">
        <is>
          <t>Claude</t>
        </is>
      </c>
      <c r="H51" s="77" t="inlineStr">
        <is>
          <t>pedido do usuário 2026-10-16/17; DeviceModel.applyStartupSettings</t>
        </is>
      </c>
      <c r="I51" s="77" t="inlineStr">
        <is>
          <t>[2026-10-17] Verificado no aparelho real: 0 0 0 0 -&gt; -86 -86 -86 -86 em 1 s; restauração com cap (-100/-60/-90/-50 -&gt; -100/-86/-90/-86) e rotas A/B; autosave 1 s após cada mudança e ao sair; testes de host passando. F4 (escrever Reg 0x98 na partida) revertido: a referência não escreve.</t>
        </is>
      </c>
    </row>
    <row r="52" s="21">
      <c r="A52" s="77" t="inlineStr">
        <is>
          <t>H.7</t>
        </is>
      </c>
      <c r="B52" s="77" t="inlineStr">
        <is>
          <t>H</t>
        </is>
      </c>
      <c r="C52" s="77" t="inlineStr">
        <is>
          <t>Helper larga o dispositivo quando o serviço termina (sem fixar o objeto do kext)</t>
        </is>
      </c>
      <c r="D52" s="77" t="inlineStr">
        <is>
          <t>kextunload com o helper rodando não retorna 3; objeto FW1814Device liberado</t>
        </is>
      </c>
      <c r="E52" s="77" t="inlineStr">
        <is>
          <t>H.4</t>
        </is>
      </c>
      <c r="F52" s="77" t="inlineStr">
        <is>
          <t>Concluído</t>
        </is>
      </c>
      <c r="G52" s="77" t="inlineStr">
        <is>
          <t>Claude</t>
        </is>
      </c>
      <c r="H52" s="77" t="inlineStr">
        <is>
          <t>GAP-ANALYSIS-2026-10-17 H-3; R57</t>
        </is>
      </c>
      <c r="I52" s="77" t="inlineStr">
        <is>
          <t>[2026-10-17] Teste de unload com o helper rodando: exit 3 e FW1814Device=1 vivo (o helper segurava io_service_t e user client). Corrigido em Settings.c (IOServiceAddInterestNotification + kIOMessageServiceIsTerminated: commit pendente, IOServiceClose, IOObjectRelease). Com o helper reiniciado o unload passa; a primeira tentativa ainda corre alguns segundos atrás do helper (retry passa) - scripts ajustados.</t>
        </is>
      </c>
    </row>
    <row r="53" s="21">
      <c r="A53" s="77" t="inlineStr">
        <is>
          <t>M-T</t>
        </is>
      </c>
      <c r="B53" s="77" t="inlineStr">
        <is>
          <t>M</t>
        </is>
      </c>
      <c r="C53" s="77" t="inlineStr">
        <is>
          <t>UID do engine igual ao oficial (com_m_audio_FWEngine2:0x&lt;GUID&gt;)</t>
        </is>
      </c>
      <c r="D53" s="77" t="inlineStr">
        <is>
          <t>HAL UID = com_m_audio_FWEngine2:0x&lt;GUID&gt;; sessões gravadas com o driver oficial reconhecem o dispositivo</t>
        </is>
      </c>
      <c r="E53" s="77" t="inlineStr">
        <is>
          <t>M-D</t>
        </is>
      </c>
      <c r="F53" s="77" t="inlineStr">
        <is>
          <t>Concluído</t>
        </is>
      </c>
      <c r="G53" s="77" t="inlineStr">
        <is>
          <t>Claude</t>
        </is>
      </c>
      <c r="H53" s="77" t="inlineStr">
        <is>
          <t>capturas 79-81; asm 0x5b84</t>
        </is>
      </c>
      <c r="I53" s="77" t="inlineStr">
        <is>
          <t>[2026-10-17] getGlobalUniqueID usava getName() no slot vt[0x3b8]; o registro do SL prova que o segmento do meio é vazio (o nome do engine é o nome da classe e mesmo assim o UID não o contém) -&gt; getLocation(). Verificado: UID do HAL = com_m_audio_FWEngine2:0xD6C040012337F. Efeito: apps que guardaram o UID antigo do clone precisam reselecionar o dispositivo uma vez.</t>
        </is>
      </c>
    </row>
    <row r="54" s="21">
      <c r="A54" s="77" t="inlineStr">
        <is>
          <t>M-U</t>
        </is>
      </c>
      <c r="B54" s="77" t="inlineStr">
        <is>
          <t>M</t>
        </is>
      </c>
      <c r="C54" s="77" t="inlineStr">
        <is>
          <t>Controles pass-through (play-through) do v1.9: 18 volumes + 1 mute visíveis ao CoreAudio</t>
        </is>
      </c>
      <c r="D54" s="77" t="inlineStr">
        <is>
          <t>Decisão do usuário: manter o v1.11.2 (sem eles) ou adicionar os do v1.9</t>
        </is>
      </c>
      <c r="E54" s="77" t="inlineStr">
        <is>
          <t>M-N</t>
        </is>
      </c>
      <c r="F54" s="77" t="inlineStr">
        <is>
          <t>Concluído</t>
        </is>
      </c>
      <c r="G54" s="77" t="inlineStr">
        <is>
          <t>Você (decisão) + Claude</t>
        </is>
      </c>
      <c r="H54" s="77" t="inlineStr">
        <is>
          <t>GAP-ANALYSIS-2026-10-17 K6; captura 81</t>
        </is>
      </c>
      <c r="I54" s="77" t="inlineStr">
        <is>
          <t>[2026-10-17] SL (v1.9) expõe 65 controles em S/PDIF; clone (v1.11.2) 46: faltam 18 níveis + 1 mute com uso pass. Verificado nos dois binários: FWSettingsLevels::Init do v1.9 contém o imediato pass duas vezes; o do v1.11.2 não (os criadores EstablishDirectMonitoring* existem sem chamador). O clone segue o v1.11.2; adicionar é barato. [2026-10-17] R58: decisão do usuário = adicionar. Chamadas do v1.9 (asm 0x23cb8, 0x23d8f) espelhadas em FWSettings.cpp Init; no build PC 18 níveis + 1 mute 'pass' no registro = SL (captura 82). Desvio consciente do spec v1.11.2.</t>
        </is>
      </c>
    </row>
    <row r="55" s="21">
      <c r="A55" s="77" t="inlineStr">
        <is>
          <t>M-V</t>
        </is>
      </c>
      <c r="B55" s="77" t="inlineStr">
        <is>
          <t>M</t>
        </is>
      </c>
      <c r="C55" s="77" t="inlineStr">
        <is>
          <t>Plug-in CoreMIDI de referência instalado e carregando no 10.13.6 (teste de carga)</t>
        </is>
      </c>
      <c r="D55" s="77" t="inlineStr">
        <is>
          <t>MIDI Studio lista as portas do FW1814; loopback DIN e SysEx</t>
        </is>
      </c>
      <c r="E55" s="77" t="inlineStr">
        <is>
          <t>M-H2</t>
        </is>
      </c>
      <c r="F55" s="77" t="inlineStr">
        <is>
          <t>Concluído</t>
        </is>
      </c>
      <c r="G55" s="77" t="inlineStr">
        <is>
          <t>Claude + Você (OK para reiniciar o MIDIServer)</t>
        </is>
      </c>
      <c r="H55" s="77" t="inlineStr">
        <is>
          <t>GAP-ANALYSIS-2026-10-17 M-1</t>
        </is>
      </c>
      <c r="I55" s="77" t="inlineStr">
        <is>
          <t>[2026-10-17] O plug-in oficial não está instalado no build PC. Copiar para /Library/Audio/MIDI Drivers e reiniciar o MIDIServer interrompe o MIDI de apps abertos (Studio One) - pede OK do usuário. [2026-10-17] R58: plug-in da referência instalado sem alteração em /Library/Audio/MIDI Drivers e MIDIServer reiniciado; carrega e lista 'FireWire 1814' 1 in / 1 out (captura 82). Falta loopback com cabo DIN. [2026-10-21] Plug-in instalado pelo pacote e carregando (R58, R118).</t>
        </is>
      </c>
    </row>
    <row r="56">
      <c r="A56" s="77" t="inlineStr">
        <is>
          <t>PN.10</t>
        </is>
      </c>
      <c r="B56" s="77" t="inlineStr">
        <is>
          <t>PN</t>
        </is>
      </c>
      <c r="C56" s="77" t="inlineStr">
        <is>
          <t>Lista de taxas do painel vinda do CoreAudio (kAudioDevicePropertyAvailableNominalSampleRates), como a referência (cookies 0x603/0x604)</t>
        </is>
      </c>
      <c r="D56" s="77" t="inlineStr">
        <is>
          <t>O passo da taxa na aba Hardware segue a lista do CoreAudio do dispositivo; fallback de 6 taxas antes de o HAL existir</t>
        </is>
      </c>
      <c r="E56" s="77" t="inlineStr">
        <is>
          <t>PN.8</t>
        </is>
      </c>
      <c r="F56" s="77" t="inlineStr">
        <is>
          <t>Concluído</t>
        </is>
      </c>
      <c r="G56" s="77" t="inlineStr">
        <is>
          <t>Claude</t>
        </is>
      </c>
      <c r="H56" s="77" t="inlineStr">
        <is>
          <t>A2-panel/P8 §10; GAP-ANALYSIS P-3</t>
        </is>
      </c>
      <c r="I56" s="77" t="inlineStr">
        <is>
          <t>[2026-10-17] R58: availableRates do HAL + fallback; 15 testes de host passando; falta observar ao trocar o modo digital. [2026-10-21] Funciona no hardware (0.1.0 e 0.2.x, uso diário do usuário até 2026-10-21).</t>
        </is>
      </c>
    </row>
  </sheetData>
  <dataValidations count="1">
    <dataValidation sqref="F2:F98" showDropDown="0" showInputMessage="0" showErrorMessage="0" allowBlank="0" type="list">
      <formula1>"Não iniciado,Autorizado (pré-trabalho),Em andamento,Concluído,Aguarda aprovação do plano,Cancelado (corte de escopo),Sob demanda (uso real)"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51" min="1" max="1"/>
    <col width="30" customWidth="1" style="51" min="2" max="2"/>
    <col width="14" customWidth="1" style="51" min="3" max="3"/>
    <col width="55" customWidth="1" style="51" min="4" max="4"/>
    <col width="9" customWidth="1" style="51" min="5" max="5"/>
    <col width="10" customWidth="1" style="51" min="6" max="6"/>
    <col width="55" customWidth="1" style="51" min="7" max="7"/>
    <col width="14" customWidth="1" style="51" min="8" max="8"/>
    <col width="26" customWidth="1" style="21" min="9" max="9"/>
    <col width="60" customWidth="1" style="21" min="10" max="10"/>
    <col width="9" customWidth="1" style="21" min="11" max="11"/>
  </cols>
  <sheetData>
    <row r="1" ht="23.85" customHeight="1" s="21">
      <c r="A1" s="54" t="inlineStr">
        <is>
          <t>ID flag</t>
        </is>
      </c>
      <c r="B1" s="54" t="inlineStr">
        <is>
          <t>Arquivo / grupo</t>
        </is>
      </c>
      <c r="C1" s="54" t="inlineStr">
        <is>
          <t>Linha(s)</t>
        </is>
      </c>
      <c r="D1" s="54" t="inlineStr">
        <is>
          <t>Afirmação citada</t>
        </is>
      </c>
      <c r="E1" s="54" t="inlineStr">
        <is>
          <t>Categoria</t>
        </is>
      </c>
      <c r="F1" s="54" t="inlineStr">
        <is>
          <t>Severidade</t>
        </is>
      </c>
      <c r="G1" s="54" t="inlineStr">
        <is>
          <t>Como verificar / o que o binário diz</t>
        </is>
      </c>
      <c r="H1" s="54" t="inlineStr">
        <is>
          <t>Status</t>
        </is>
      </c>
      <c r="I1" s="64" t="inlineStr">
        <is>
          <t>Resolução (2026-10-14)</t>
        </is>
      </c>
      <c r="J1" s="64" t="inlineStr">
        <is>
          <t>Evidência / próximo passo</t>
        </is>
      </c>
      <c r="K1" s="64" t="inlineStr">
        <is>
          <t>Parte</t>
        </is>
      </c>
    </row>
    <row r="2" ht="22.35" customHeight="1" s="21">
      <c r="A2" s="65" t="inlineStr">
        <is>
          <t>AUD-C1-01</t>
        </is>
      </c>
      <c r="B2" s="67" t="inlineStr">
        <is>
          <t>C1-lifecycle-state-machine.md</t>
        </is>
      </c>
      <c r="C2" s="67" t="inlineStr">
        <is>
          <t>27, 201</t>
        </is>
      </c>
      <c r="D2" s="67" t="inlineStr">
        <is>
          <t>"writes MAFirmwareHalt … FirmwareHalt @ 0x1bff2 writes RESET opcode 0x01020000 | subcode=1" (on bootloader device)</t>
        </is>
      </c>
      <c r="E2" s="66" t="inlineStr">
        <is>
          <t>4</t>
        </is>
      </c>
      <c r="F2" s="66" t="inlineStr">
        <is>
          <t>alta</t>
        </is>
      </c>
      <c r="G2" s="67" t="inlineStr">
        <is>
          <t>asm 0x1c007-0x1c00e: write skipped when `[+0xf0]` (bootloader active) ≠ 0.</t>
        </is>
      </c>
      <c r="H2" s="66" t="inlineStr">
        <is>
          <t>Resolvido</t>
        </is>
      </c>
      <c r="I2" s="70" t="inlineStr">
        <is>
          <t>Resolvido — verificado no asm</t>
        </is>
      </c>
      <c r="J2" s="70" t="inlineStr">
        <is>
          <t>PROVENANCE-RESOLUTIONS.md §R5 (FirmwareHalt, CIP, opcodes, FDF); bloco Correction inserido no doc.</t>
        </is>
      </c>
      <c r="K2" s="70" t="inlineStr">
        <is>
          <t>C1</t>
        </is>
      </c>
    </row>
    <row r="3" ht="32.8" customHeight="1" s="21">
      <c r="A3" s="65" t="inlineStr">
        <is>
          <t>AUD-C1-02</t>
        </is>
      </c>
      <c r="B3" s="67" t="inlineStr">
        <is>
          <t>C1-lifecycle-state-machine.md</t>
        </is>
      </c>
      <c r="C3" s="67" t="inlineStr">
        <is>
          <t>78, 207</t>
        </is>
      </c>
      <c r="D3" s="67" t="inlineStr">
        <is>
          <t>"commit via vt[0xce0] + HSCI emit via vt[0xaf8]"</t>
        </is>
      </c>
      <c r="E3" s="66" t="inlineStr">
        <is>
          <t>4</t>
        </is>
      </c>
      <c r="F3" s="66" t="inlineStr">
        <is>
          <t>alta</t>
        </is>
      </c>
      <c r="G3" s="67" t="inlineStr">
        <is>
          <t>vtable 0x391c0/0x369b0: ce0 = FWEngine2::PerformSampleRateChangeCore, af8 = ResetRearrangementProcs.</t>
        </is>
      </c>
      <c r="H3" s="66" t="inlineStr">
        <is>
          <t>Resolvido</t>
        </is>
      </c>
      <c r="I3" s="70" t="inlineStr">
        <is>
          <t>Resolvido — verificado no asm</t>
        </is>
      </c>
      <c r="J3" s="70" t="inlineStr">
        <is>
          <t>PROVENANCE-RESOLUTIONS.md §R2 (vtables 0x391c0/0x369b0 + otool -rv); bloco Correction inserido no doc.</t>
        </is>
      </c>
      <c r="K3" s="70" t="inlineStr">
        <is>
          <t>C1</t>
        </is>
      </c>
    </row>
    <row r="4" ht="15" customHeight="1" s="21">
      <c r="A4" s="65" t="inlineStr">
        <is>
          <t>AUD-C1-03</t>
        </is>
      </c>
      <c r="B4" s="67" t="inlineStr">
        <is>
          <t>C1-lifecycle-state-machine.md</t>
        </is>
      </c>
      <c r="C4" s="67" t="inlineStr">
        <is>
          <t>82-85, 179, 208</t>
        </is>
      </c>
      <c r="D4" s="67" t="inlineStr">
        <is>
          <t>"STREAM_KICK OUTPUT 0x18 → 100 ms → INPUT 0x19 FCP"</t>
        </is>
      </c>
      <c r="E4" s="66" t="inlineStr">
        <is>
          <t>4</t>
        </is>
      </c>
      <c r="F4" s="66" t="inlineStr">
        <is>
          <t>alta</t>
        </is>
      </c>
      <c r="G4" s="67" t="inlineStr">
        <is>
          <t>Q3a §3 Correction; only IOSleep(0x64) is at 0x24690 (CMP retry).</t>
        </is>
      </c>
      <c r="H4" s="66" t="inlineStr">
        <is>
          <t>Resolvido</t>
        </is>
      </c>
      <c r="I4" s="70" t="inlineStr">
        <is>
          <t>Resolvido — verificado no asm</t>
        </is>
      </c>
      <c r="J4" s="70" t="inlineStr">
        <is>
          <t>PROVENANCE-RESOLUTIONS.md §R1 (ConnectAudioMIDIChannels 0x121c9..0x122bb); bloco Correction inserido no doc.</t>
        </is>
      </c>
      <c r="K4" s="70" t="inlineStr">
        <is>
          <t>C1</t>
        </is>
      </c>
    </row>
    <row r="5" ht="15" customHeight="1" s="21">
      <c r="A5" s="65" t="inlineStr">
        <is>
          <t>AUD-C1-04</t>
        </is>
      </c>
      <c r="B5" s="67" t="inlineStr">
        <is>
          <t>C1-lifecycle-state-machine.md</t>
        </is>
      </c>
      <c r="C5" s="67" t="inlineStr">
        <is>
          <t>140</t>
        </is>
      </c>
      <c r="D5" s="67" t="inlineStr">
        <is>
          <t>"DCL ring is 64-TX-segments + 64-RX-segments"</t>
        </is>
      </c>
      <c r="E5" s="66" t="inlineStr">
        <is>
          <t>4</t>
        </is>
      </c>
      <c r="F5" s="66" t="inlineStr">
        <is>
          <t>média</t>
        </is>
      </c>
      <c r="G5" s="67" t="inlineStr">
        <is>
          <t>C1 lacks the DCL Correction block; Q-DCL: TX 20 segments.</t>
        </is>
      </c>
      <c r="H5" s="66" t="inlineStr">
        <is>
          <t>Resolvido</t>
        </is>
      </c>
      <c r="I5" s="70" t="inlineStr">
        <is>
          <t>Resolvido — via audit + bloco no doc</t>
        </is>
      </c>
      <c r="J5" s="70" t="inlineStr">
        <is>
          <t>Leitura do audit (asm/captura) propagada como bloco Correction; não re-derivada aqui (ver PROVENANCE-AUDIT.md).</t>
        </is>
      </c>
      <c r="K5" s="70" t="inlineStr">
        <is>
          <t>C1</t>
        </is>
      </c>
    </row>
    <row r="6" ht="32.8" customHeight="1" s="21">
      <c r="A6" s="65" t="inlineStr">
        <is>
          <t>AUD-C1-05</t>
        </is>
      </c>
      <c r="B6" s="67" t="inlineStr">
        <is>
          <t>C1-lifecycle-state-machine.md</t>
        </is>
      </c>
      <c r="C6" s="67" t="inlineStr">
        <is>
          <t>145</t>
        </is>
      </c>
      <c r="D6" s="67" t="inlineStr">
        <is>
          <t>"40-ioreg-playback.txt:4287..4324: five passive … IOAudioEngineUserClients (coreaudiod, loginwindow, UserEventAgent…)"</t>
        </is>
      </c>
      <c r="E6" s="66" t="inlineStr">
        <is>
          <t>4</t>
        </is>
      </c>
      <c r="F6" s="66" t="inlineStr">
        <is>
          <t>baixa</t>
        </is>
      </c>
      <c r="G6" s="67" t="inlineStr">
        <is>
          <t>That range holds 5 IOAudioControlUserClients (coreaudiod, SystemUIServer, Panel, System Preferences, afplay).</t>
        </is>
      </c>
      <c r="H6" s="66" t="inlineStr">
        <is>
          <t>Resolvido</t>
        </is>
      </c>
      <c r="I6" s="70" t="inlineStr">
        <is>
          <t>Resolvido — verificado no asm</t>
        </is>
      </c>
      <c r="J6" s="70" t="inlineStr">
        <is>
          <t>PROVENANCE-RESOLUTIONS.md §R16 (capture readings; FFADO avc_signal_source.cpp:33; kext 0x12c7e); bloco Correction inserido no doc.</t>
        </is>
      </c>
      <c r="K6" s="70" t="inlineStr">
        <is>
          <t>C1</t>
        </is>
      </c>
    </row>
    <row r="7" ht="15" customHeight="1" s="21">
      <c r="A7" s="65" t="inlineStr">
        <is>
          <t>AUD-C1-06</t>
        </is>
      </c>
      <c r="B7" s="67" t="inlineStr">
        <is>
          <t>C1-lifecycle-state-machine.md</t>
        </is>
      </c>
      <c r="C7" s="67" t="inlineStr">
        <is>
          <t>165</t>
        </is>
      </c>
      <c r="D7" s="67" t="inlineStr">
        <is>
          <t>"polls 0xFFC7:00600000 for fRate&gt;&gt;2 quadlets"</t>
        </is>
      </c>
      <c r="E7" s="66" t="inlineStr">
        <is>
          <t>3</t>
        </is>
      </c>
      <c r="F7" s="66" t="inlineStr">
        <is>
          <t>baixa</t>
        </is>
      </c>
      <c r="G7" s="67" t="inlineStr">
        <is>
          <t>`[+0xc0]` at 0x1d623 is a byte length, not a rate.</t>
        </is>
      </c>
      <c r="H7" s="66" t="inlineStr">
        <is>
          <t>Resolvido</t>
        </is>
      </c>
      <c r="I7" s="70" t="inlineStr">
        <is>
          <t>Resolvido — via audit + bloco no doc</t>
        </is>
      </c>
      <c r="J7" s="70" t="inlineStr">
        <is>
          <t>Leitura do audit (asm/captura) propagada como bloco Correction; não re-derivada aqui (ver PROVENANCE-AUDIT.md).</t>
        </is>
      </c>
      <c r="K7" s="70" t="inlineStr">
        <is>
          <t>C1</t>
        </is>
      </c>
    </row>
    <row r="8" ht="22.35" customHeight="1" s="21">
      <c r="A8" s="65" t="inlineStr">
        <is>
          <t>AUD-C1-07</t>
        </is>
      </c>
      <c r="B8" s="67" t="inlineStr">
        <is>
          <t>C1-lifecycle-state-machine.md</t>
        </is>
      </c>
      <c r="C8" s="67" t="inlineStr">
        <is>
          <t>179, 208, 210, 252</t>
        </is>
      </c>
      <c r="D8" s="67" t="inlineStr">
        <is>
          <t>"ReconnectP2P runs InvokeOnNewThread CallCenter selector 0xBF1"</t>
        </is>
      </c>
      <c r="E8" s="66" t="inlineStr">
        <is>
          <t>4</t>
        </is>
      </c>
      <c r="F8" s="66" t="inlineStr">
        <is>
          <t>alta</t>
        </is>
      </c>
      <c r="G8" s="67" t="inlineStr">
        <is>
          <t>0xBF1 is set in BusReset @0xe5ab; PMF → vt[0xbf0] = ReconnectP2P; ReconnectP2P itself has no thread hop.</t>
        </is>
      </c>
      <c r="H8" s="66" t="inlineStr">
        <is>
          <t>Resolvido</t>
        </is>
      </c>
      <c r="I8" s="70" t="inlineStr">
        <is>
          <t>Resolvido — verificado no asm</t>
        </is>
      </c>
      <c r="J8" s="70" t="inlineStr">
        <is>
          <t>PROVENANCE-RESOLUTIONS.md §R4 (ReconnectP2P 0xe1ea / BusReset 0xe53a); bloco Correction inserido no doc.</t>
        </is>
      </c>
      <c r="K8" s="70" t="inlineStr">
        <is>
          <t>C1</t>
        </is>
      </c>
    </row>
    <row r="9" ht="15" customHeight="1" s="21">
      <c r="A9" s="65" t="inlineStr">
        <is>
          <t>AUD-C1-08</t>
        </is>
      </c>
      <c r="B9" s="67" t="inlineStr">
        <is>
          <t>C1-lifecycle-state-machine.md</t>
        </is>
      </c>
      <c r="C9" s="67" t="inlineStr">
        <is>
          <t>187</t>
        </is>
      </c>
      <c r="D9" s="67" t="inlineStr">
        <is>
          <t>"Panel and helper notification subscribers both see the message"</t>
        </is>
      </c>
      <c r="E9" s="66" t="inlineStr">
        <is>
          <t>1</t>
        </is>
      </c>
      <c r="F9" s="66" t="inlineStr">
        <is>
          <t>baixa</t>
        </is>
      </c>
      <c r="G9" s="67" t="inlineStr">
        <is>
          <t>Trace FWMetaNub::message → global hook target; not shown in Q7.</t>
        </is>
      </c>
      <c r="H9" s="66" t="inlineStr">
        <is>
          <t>Resolvido</t>
        </is>
      </c>
      <c r="I9" s="70" t="inlineStr">
        <is>
          <t>Resolvido — verificado no asm</t>
        </is>
      </c>
      <c r="J9" s="70" t="inlineStr">
        <is>
          <t>A4-helper/H11-settings-persistence.md (Ghidra decompile of loadPrefsForUser:/commitSettings:/receivedPropertyChangeMessage:); bloco Correction inserido no doc.</t>
        </is>
      </c>
      <c r="K9" s="70" t="inlineStr">
        <is>
          <t>C1</t>
        </is>
      </c>
    </row>
    <row r="10" ht="15" customHeight="1" s="21">
      <c r="A10" s="65" t="inlineStr">
        <is>
          <t>AUD-C1-09</t>
        </is>
      </c>
      <c r="B10" s="67" t="inlineStr">
        <is>
          <t>C1-lifecycle-state-machine.md</t>
        </is>
      </c>
      <c r="C10" s="67" t="inlineStr">
        <is>
          <t>228</t>
        </is>
      </c>
      <c r="D10" s="67" t="inlineStr">
        <is>
          <t>"Panel … retain 7 at SL idle"</t>
        </is>
      </c>
      <c r="E10" s="66" t="inlineStr">
        <is>
          <t>4</t>
        </is>
      </c>
      <c r="F10" s="66" t="inlineStr">
        <is>
          <t>baixa</t>
        </is>
      </c>
      <c r="G10" s="67" t="inlineStr">
        <is>
          <t>12-ioreg-full.txt:5812 shows Panel UC retain 8.</t>
        </is>
      </c>
      <c r="H10" s="66" t="inlineStr">
        <is>
          <t>Resolvido</t>
        </is>
      </c>
      <c r="I10" s="70" t="inlineStr">
        <is>
          <t>Resolvido — via audit + bloco no doc</t>
        </is>
      </c>
      <c r="J10" s="70" t="inlineStr">
        <is>
          <t>Leitura do audit (asm/captura) propagada como bloco Correction; não re-derivada aqui (ver PROVENANCE-AUDIT.md).</t>
        </is>
      </c>
      <c r="K10" s="70" t="inlineStr">
        <is>
          <t>C1</t>
        </is>
      </c>
    </row>
    <row r="11" ht="22.35" customHeight="1" s="21">
      <c r="A11" s="65" t="inlineStr">
        <is>
          <t>AUD-C1-10</t>
        </is>
      </c>
      <c r="B11" s="67" t="inlineStr">
        <is>
          <t>C1-lifecycle-state-machine.md</t>
        </is>
      </c>
      <c r="C11" s="67" t="inlineStr">
        <is>
          <t>244</t>
        </is>
      </c>
      <c r="D11" s="67" t="inlineStr">
        <is>
          <t>"The off-workloop dispatch is deliberate — keeps the FireWire workloop free"</t>
        </is>
      </c>
      <c r="E11" s="66" t="inlineStr">
        <is>
          <t>1</t>
        </is>
      </c>
      <c r="F11" s="66" t="inlineStr">
        <is>
          <t>baixa</t>
        </is>
      </c>
      <c r="G11" s="67" t="inlineStr">
        <is>
          <t>Design intent with no evidence.</t>
        </is>
      </c>
      <c r="H11" s="66" t="inlineStr">
        <is>
          <t>Rotulado</t>
        </is>
      </c>
      <c r="I11" s="70" t="inlineStr">
        <is>
          <t>Rotulado como não verificado</t>
        </is>
      </c>
      <c r="J11" s="70" t="inlineStr">
        <is>
          <t>Bloco Correction no doc marca a afirmação como hipótese/estimativa e nomeia a verificação (ver coluna G).</t>
        </is>
      </c>
      <c r="K11" s="70" t="inlineStr">
        <is>
          <t>C1</t>
        </is>
      </c>
    </row>
    <row r="12" ht="22.35" customHeight="1" s="21">
      <c r="A12" s="65" t="inlineStr">
        <is>
          <t>AUD-C1-11</t>
        </is>
      </c>
      <c r="B12" s="67" t="inlineStr">
        <is>
          <t>C1-lifecycle-state-machine.md</t>
        </is>
      </c>
      <c r="C12" s="67" t="inlineStr">
        <is>
          <t>250</t>
        </is>
      </c>
      <c r="D12" s="67" t="inlineStr">
        <is>
          <t>"broadcast … fires from this timer context" (HSCI)</t>
        </is>
      </c>
      <c r="E12" s="66" t="inlineStr">
        <is>
          <t>4</t>
        </is>
      </c>
      <c r="F12" s="66" t="inlineStr">
        <is>
          <t>média</t>
        </is>
      </c>
      <c r="G12" s="67" t="inlineStr">
        <is>
          <t>Listener dispatch runs on InvokeOnNewThread (0x1d89e), not the timer context.</t>
        </is>
      </c>
      <c r="H12" s="66" t="inlineStr">
        <is>
          <t>Resolvido</t>
        </is>
      </c>
      <c r="I12" s="70" t="inlineStr">
        <is>
          <t>Resolvido — via audit + bloco no doc</t>
        </is>
      </c>
      <c r="J12" s="70" t="inlineStr">
        <is>
          <t>Leitura do audit (asm/captura) propagada como bloco Correction; não re-derivada aqui (ver PROVENANCE-AUDIT.md).</t>
        </is>
      </c>
      <c r="K12" s="70" t="inlineStr">
        <is>
          <t>C1</t>
        </is>
      </c>
    </row>
    <row r="13" ht="15" customHeight="1" s="21">
      <c r="A13" s="65" t="inlineStr">
        <is>
          <t>AUD-C1-12</t>
        </is>
      </c>
      <c r="B13" s="67" t="inlineStr">
        <is>
          <t>C1-lifecycle-state-machine.md</t>
        </is>
      </c>
      <c r="C13" s="67" t="inlineStr">
        <is>
          <t>275, 284</t>
        </is>
      </c>
      <c r="D13" s="67" t="inlineStr">
        <is>
          <t>"vtable slots whose indices moved … ~20 patch sites"</t>
        </is>
      </c>
      <c r="E13" s="66" t="inlineStr">
        <is>
          <t>4</t>
        </is>
      </c>
      <c r="F13" s="66" t="inlineStr">
        <is>
          <t>média</t>
        </is>
      </c>
      <c r="G13" s="67" t="inlineStr">
        <is>
          <t>Superseded by Q-SDK; C1 has no breaker-#3 correction block.</t>
        </is>
      </c>
      <c r="H13" s="66" t="inlineStr">
        <is>
          <t>Resolvido</t>
        </is>
      </c>
      <c r="I13" s="70" t="inlineStr">
        <is>
          <t>Resolvido — via audit + bloco no doc</t>
        </is>
      </c>
      <c r="J13" s="70" t="inlineStr">
        <is>
          <t>Leitura do audit (asm/captura) propagada como bloco Correction; não re-derivada aqui (ver PROVENANCE-AUDIT.md).</t>
        </is>
      </c>
      <c r="K13" s="70" t="inlineStr">
        <is>
          <t>C1</t>
        </is>
      </c>
    </row>
    <row r="14" ht="15" customHeight="1" s="21">
      <c r="A14" s="65" t="inlineStr">
        <is>
          <t>AUD-C2-01</t>
        </is>
      </c>
      <c r="B14" s="67" t="inlineStr">
        <is>
          <t>C2-sync-path.md</t>
        </is>
      </c>
      <c r="C14" s="67" t="inlineStr">
        <is>
          <t>38, 287</t>
        </is>
      </c>
      <c r="D14" s="67" t="inlineStr">
        <is>
          <t>"if !blankSlate: vt[0xbe0] AV/C stream-kick"</t>
        </is>
      </c>
      <c r="E14" s="66" t="inlineStr">
        <is>
          <t>4</t>
        </is>
      </c>
      <c r="F14" s="66" t="inlineStr">
        <is>
          <t>alta</t>
        </is>
      </c>
      <c r="G14" s="67" t="inlineStr">
        <is>
          <t>vt[0xbe0] = SwitchDigitalSignals @0xe5dc.</t>
        </is>
      </c>
      <c r="H14" s="66" t="inlineStr">
        <is>
          <t>Resolvido</t>
        </is>
      </c>
      <c r="I14" s="70" t="inlineStr">
        <is>
          <t>Resolvido — verificado no asm</t>
        </is>
      </c>
      <c r="J14" s="70" t="inlineStr">
        <is>
          <t>PROVENANCE-RESOLUTIONS.md §R2 (vtables 0x391c0/0x369b0 + otool -rv); bloco Correction inserido no doc.</t>
        </is>
      </c>
      <c r="K14" s="70" t="inlineStr">
        <is>
          <t>C2</t>
        </is>
      </c>
    </row>
    <row r="15" ht="22.35" customHeight="1" s="21">
      <c r="A15" s="65" t="inlineStr">
        <is>
          <t>AUD-C2-02</t>
        </is>
      </c>
      <c r="B15" s="67" t="inlineStr">
        <is>
          <t>C2-sync-path.md</t>
        </is>
      </c>
      <c r="C15" s="67" t="inlineStr">
        <is>
          <t>49-50, 193-198, 204</t>
        </is>
      </c>
      <c r="D15" s="67" t="inlineStr">
        <is>
          <t>"vt[0xce0] AV/C commit"; "vt[0xaf8] HSCI emit"; "vt[0xb58] ApplyRateToIsoch"; "vt[0xb10] EndFormatChange/StartStreams"</t>
        </is>
      </c>
      <c r="E15" s="66" t="inlineStr">
        <is>
          <t>4</t>
        </is>
      </c>
      <c r="F15" s="66" t="inlineStr">
        <is>
          <t>alta</t>
        </is>
      </c>
      <c r="G15" s="67" t="inlineStr">
        <is>
          <t>Resolved slots, see top-15 #2-#4.</t>
        </is>
      </c>
      <c r="H15" s="66" t="inlineStr">
        <is>
          <t>Resolvido</t>
        </is>
      </c>
      <c r="I15" s="70" t="inlineStr">
        <is>
          <t>Resolvido — verificado no asm</t>
        </is>
      </c>
      <c r="J15" s="70" t="inlineStr">
        <is>
          <t>PROVENANCE-RESOLUTIONS.md §R2 (vtables 0x391c0/0x369b0 + otool -rv); bloco Correction inserido no doc.</t>
        </is>
      </c>
      <c r="K15" s="70" t="inlineStr">
        <is>
          <t>C2</t>
        </is>
      </c>
    </row>
    <row r="16" ht="22.35" customHeight="1" s="21">
      <c r="A16" s="65" t="inlineStr">
        <is>
          <t>AUD-C2-03</t>
        </is>
      </c>
      <c r="B16" s="67" t="inlineStr">
        <is>
          <t>C2-sync-path.md</t>
        </is>
      </c>
      <c r="C16" s="67" t="inlineStr">
        <is>
          <t>102</t>
        </is>
      </c>
      <c r="D16" s="67" t="inlineStr">
        <is>
          <t>"engine vt[0xce8] = SetDigitalInputActive(false)"</t>
        </is>
      </c>
      <c r="E16" s="66" t="inlineStr">
        <is>
          <t>4</t>
        </is>
      </c>
      <c r="F16" s="66" t="inlineStr">
        <is>
          <t>baixa</t>
        </is>
      </c>
      <c r="G16" s="67" t="inlineStr">
        <is>
          <t>No such symbol; FWEngine2 vt[0xce8] = SetExternalSyncEnabled(bool) @0x11bc0.</t>
        </is>
      </c>
      <c r="H16" s="66" t="inlineStr">
        <is>
          <t>Resolvido</t>
        </is>
      </c>
      <c r="I16" s="70" t="inlineStr">
        <is>
          <t>Resolvido — verificado no asm</t>
        </is>
      </c>
      <c r="J16" s="70" t="inlineStr">
        <is>
          <t>PROVENANCE-RESOLUTIONS.md §R2 (vtables 0x391c0/0x369b0 + otool -rv); bloco Correction inserido no doc.</t>
        </is>
      </c>
      <c r="K16" s="70" t="inlineStr">
        <is>
          <t>C2</t>
        </is>
      </c>
    </row>
    <row r="17" ht="22.35" customHeight="1" s="21">
      <c r="A17" s="65" t="inlineStr">
        <is>
          <t>AUD-C2-04</t>
        </is>
      </c>
      <c r="B17" s="67" t="inlineStr">
        <is>
          <t>C2-sync-path.md</t>
        </is>
      </c>
      <c r="C17" s="67" t="inlineStr">
        <is>
          <t>174, 325</t>
        </is>
      </c>
      <c r="D17" s="67" t="inlineStr">
        <is>
          <t>"These values are the device-measured PLL settle time"</t>
        </is>
      </c>
      <c r="E17" s="66" t="inlineStr">
        <is>
          <t>1</t>
        </is>
      </c>
      <c r="F17" s="66" t="inlineStr">
        <is>
          <t>média</t>
        </is>
      </c>
      <c r="G17" s="67" t="inlineStr">
        <is>
          <t>The values are verified (0x12c ×2, 0x9c4); "device-measured" has no source.</t>
        </is>
      </c>
      <c r="H17" s="66" t="inlineStr">
        <is>
          <t>Resolvido</t>
        </is>
      </c>
      <c r="I17" s="70" t="inlineStr">
        <is>
          <t>Resolvido — verificado no asm</t>
        </is>
      </c>
      <c r="J17" s="70" t="inlineStr">
        <is>
          <t>PROVENANCE-RESOLUTIONS.md §R21 (SL v1.9: duas IOSleep(300) por troca de clock); bloco Correction inserido no doc.</t>
        </is>
      </c>
      <c r="K17" s="70" t="inlineStr">
        <is>
          <t>C2</t>
        </is>
      </c>
    </row>
    <row r="18" ht="15" customHeight="1" s="21">
      <c r="A18" s="65" t="inlineStr">
        <is>
          <t>AUD-C2-05</t>
        </is>
      </c>
      <c r="B18" s="67" t="inlineStr">
        <is>
          <t>C2-sync-path.md</t>
        </is>
      </c>
      <c r="C18" s="67" t="inlineStr">
        <is>
          <t>216-226</t>
        </is>
      </c>
      <c r="D18" s="67" t="inlineStr">
        <is>
          <t>"FDF value* = hex of rate"; "AM824 channels 8/8/8/16/16/32/32"</t>
        </is>
      </c>
      <c r="E18" s="66" t="inlineStr">
        <is>
          <t>4</t>
        </is>
      </c>
      <c r="F18" s="66" t="inlineStr">
        <is>
          <t>alta</t>
        </is>
      </c>
      <c r="G18" s="67" t="inlineStr">
        <is>
          <t>FDF arg = enum (0x27339..); channels from DeviceChannels tables.</t>
        </is>
      </c>
      <c r="H18" s="66" t="inlineStr">
        <is>
          <t>Resolvido</t>
        </is>
      </c>
      <c r="I18" s="70" t="inlineStr">
        <is>
          <t>Resolvido — verificado no asm</t>
        </is>
      </c>
      <c r="J18" s="70" t="inlineStr">
        <is>
          <t>PROVENANCE-RESOLUTIONS.md §R5 (FirmwareHalt, CIP, opcodes, FDF); bloco Correction inserido no doc.</t>
        </is>
      </c>
      <c r="K18" s="70" t="inlineStr">
        <is>
          <t>C2</t>
        </is>
      </c>
    </row>
    <row r="19" ht="15" customHeight="1" s="21">
      <c r="A19" s="65" t="inlineStr">
        <is>
          <t>AUD-C2-06</t>
        </is>
      </c>
      <c r="B19" s="67" t="inlineStr">
        <is>
          <t>C2-sync-path.md</t>
        </is>
      </c>
      <c r="C19" s="67" t="inlineStr">
        <is>
          <t>232, 331</t>
        </is>
      </c>
      <c r="D19" s="67" t="inlineStr">
        <is>
          <t>"cip_header1 = (hubID &lt;&lt; 24) | ((dbc_start &lt;&lt; 16) &amp; 0x3F0000)"</t>
        </is>
      </c>
      <c r="E19" s="66" t="inlineStr">
        <is>
          <t>4</t>
        </is>
      </c>
      <c r="F19" s="66" t="inlineStr">
        <is>
          <t>alta</t>
        </is>
      </c>
      <c r="G19" s="67" t="inlineStr">
        <is>
          <t>asm 0x27173-0x2718e: DBS = [+0x64]+[+0x68], unmasked.</t>
        </is>
      </c>
      <c r="H19" s="66" t="inlineStr">
        <is>
          <t>Resolvido</t>
        </is>
      </c>
      <c r="I19" s="70" t="inlineStr">
        <is>
          <t>Resolvido — verificado no asm</t>
        </is>
      </c>
      <c r="J19" s="70" t="inlineStr">
        <is>
          <t>PROVENANCE-RESOLUTIONS.md §R5 (FirmwareHalt, CIP, opcodes, FDF); bloco Correction inserido no doc.</t>
        </is>
      </c>
      <c r="K19" s="70" t="inlineStr">
        <is>
          <t>C2</t>
        </is>
      </c>
    </row>
    <row r="20" ht="22.35" customHeight="1" s="21">
      <c r="A20" s="65" t="inlineStr">
        <is>
          <t>AUD-C2-07</t>
        </is>
      </c>
      <c r="B20" s="67" t="inlineStr">
        <is>
          <t>C2-sync-path.md</t>
        </is>
      </c>
      <c r="C20" s="67" t="inlineStr">
        <is>
          <t>232</t>
        </is>
      </c>
      <c r="D20" s="67" t="inlineStr">
        <is>
          <t>"0x90000000 … (AM824 tag/channel/tcode bits)"</t>
        </is>
      </c>
      <c r="E20" s="66" t="inlineStr">
        <is>
          <t>1</t>
        </is>
      </c>
      <c r="F20" s="66" t="inlineStr">
        <is>
          <t>baixa</t>
        </is>
      </c>
      <c r="G20" s="67" t="inlineStr">
        <is>
          <t>This is CIP Q1 EOH/FMT; check against IEC 61883-1, not the isoch header.</t>
        </is>
      </c>
      <c r="H20" s="66" t="inlineStr">
        <is>
          <t>Rotulado</t>
        </is>
      </c>
      <c r="I20" s="70" t="inlineStr">
        <is>
          <t>Rotulado como não verificado</t>
        </is>
      </c>
      <c r="J20" s="70" t="inlineStr">
        <is>
          <t>Bloco Correction no doc marca a afirmação como hipótese/estimativa e nomeia a verificação (ver coluna G).</t>
        </is>
      </c>
      <c r="K20" s="70" t="inlineStr">
        <is>
          <t>C2</t>
        </is>
      </c>
    </row>
    <row r="21" ht="22.35" customHeight="1" s="21">
      <c r="A21" s="65" t="inlineStr">
        <is>
          <t>AUD-C2-08</t>
        </is>
      </c>
      <c r="B21" s="67" t="inlineStr">
        <is>
          <t>C2-sync-path.md</t>
        </is>
      </c>
      <c r="C21" s="67" t="inlineStr">
        <is>
          <t>242, 333</t>
        </is>
      </c>
      <c r="D21" s="67" t="inlineStr">
        <is>
          <t>"DCLPtrTimeStamp node is what makes OHCI raise an interrupt"</t>
        </is>
      </c>
      <c r="E21" s="66" t="inlineStr">
        <is>
          <t>1</t>
        </is>
      </c>
      <c r="F21" s="66" t="inlineStr">
        <is>
          <t>alta</t>
        </is>
      </c>
      <c r="G21" s="67" t="inlineStr">
        <is>
          <t>Needs IOFireWireFamily DCL→OHCI compiler source; Q1:187 says CallProc.</t>
        </is>
      </c>
      <c r="H21" s="66" t="inlineStr">
        <is>
          <t>Resolvido</t>
        </is>
      </c>
      <c r="I21" s="70" t="inlineStr">
        <is>
          <t>Resolvido — verificado no asm</t>
        </is>
      </c>
      <c r="J21" s="70" t="inlineStr">
        <is>
          <t>PROVENANCE-RESOLUTIONS.md §R7 + A1-ghidra/Q-OHCI-interrupt.md (AppleFWOHCI 5.5.9: translateLegacyProgram 0x8d5e, SendDCL::compile 0xd53f, ReceiveDCL::compile 0xcce7); bloco Correction inserido no doc.</t>
        </is>
      </c>
      <c r="K21" s="70" t="inlineStr">
        <is>
          <t>C2</t>
        </is>
      </c>
    </row>
    <row r="22" ht="15" customHeight="1" s="21">
      <c r="A22" s="65" t="inlineStr">
        <is>
          <t>AUD-C2-09</t>
        </is>
      </c>
      <c r="B22" s="67" t="inlineStr">
        <is>
          <t>C2-sync-path.md</t>
        </is>
      </c>
      <c r="C22" s="67" t="inlineStr">
        <is>
          <t>268-291, 325</t>
        </is>
      </c>
      <c r="D22" s="67" t="inlineStr">
        <is>
          <t>stream-kick sequence, "Clone must mirror 100 ms"</t>
        </is>
      </c>
      <c r="E22" s="66" t="inlineStr">
        <is>
          <t>4/2</t>
        </is>
      </c>
      <c r="F22" s="66" t="inlineStr">
        <is>
          <t>alta</t>
        </is>
      </c>
      <c r="G22" s="67" t="inlineStr">
        <is>
          <t>Q3a §3 Correction (500 ms, INPUT before OUTPUT).</t>
        </is>
      </c>
      <c r="H22" s="66" t="inlineStr">
        <is>
          <t>Resolvido</t>
        </is>
      </c>
      <c r="I22" s="70" t="inlineStr">
        <is>
          <t>Resolvido — verificado no asm</t>
        </is>
      </c>
      <c r="J22" s="70" t="inlineStr">
        <is>
          <t>PROVENANCE-RESOLUTIONS.md §R1 (ConnectAudioMIDIChannels 0x121c9..0x122bb); bloco Correction inserido no doc.</t>
        </is>
      </c>
      <c r="K22" s="70" t="inlineStr">
        <is>
          <t>C2</t>
        </is>
      </c>
    </row>
    <row r="23" ht="15" customHeight="1" s="21">
      <c r="A23" s="65" t="inlineStr">
        <is>
          <t>AUD-C2-10</t>
        </is>
      </c>
      <c r="B23" s="67" t="inlineStr">
        <is>
          <t>C2-sync-path.md</t>
        </is>
      </c>
      <c r="C23" s="67" t="inlineStr">
        <is>
          <t>283</t>
        </is>
      </c>
      <c r="D23" s="67" t="inlineStr">
        <is>
          <t>"100 ms gap … is empirically the device's internal plug-state settle time"</t>
        </is>
      </c>
      <c r="E23" s="66" t="inlineStr">
        <is>
          <t>1</t>
        </is>
      </c>
      <c r="F23" s="66" t="inlineStr">
        <is>
          <t>média</t>
        </is>
      </c>
      <c r="G23" s="67" t="inlineStr">
        <is>
          <t>Labelled "synthesis", not an approved marker; no capture.</t>
        </is>
      </c>
      <c r="H23" s="66" t="inlineStr">
        <is>
          <t>Resolvido</t>
        </is>
      </c>
      <c r="I23" s="70" t="inlineStr">
        <is>
          <t>Resolvido — verificado no asm</t>
        </is>
      </c>
      <c r="J23" s="70" t="inlineStr">
        <is>
          <t>PROVENANCE-RESOLUTIONS.md §R21 (SL v1.9: duas IOSleep(300) por troca de clock); bloco Correction inserido no doc.</t>
        </is>
      </c>
      <c r="K23" s="70" t="inlineStr">
        <is>
          <t>C2</t>
        </is>
      </c>
    </row>
    <row r="24" ht="15" customHeight="1" s="21">
      <c r="A24" s="65" t="inlineStr">
        <is>
          <t>AUD-C2-11</t>
        </is>
      </c>
      <c r="B24" s="67" t="inlineStr">
        <is>
          <t>C2-sync-path.md</t>
        </is>
      </c>
      <c r="C24" s="67" t="inlineStr">
        <is>
          <t>59</t>
        </is>
      </c>
      <c r="D24" s="67" t="inlineStr">
        <is>
          <t>"poll … fRate&gt;&gt;2"</t>
        </is>
      </c>
      <c r="E24" s="66" t="inlineStr">
        <is>
          <t>3</t>
        </is>
      </c>
      <c r="F24" s="66" t="inlineStr">
        <is>
          <t>baixa</t>
        </is>
      </c>
      <c r="G24" s="67" t="inlineStr">
        <is>
          <t>Same as C1:165.</t>
        </is>
      </c>
      <c r="H24" s="66" t="inlineStr">
        <is>
          <t>Resolvido</t>
        </is>
      </c>
      <c r="I24" s="70" t="inlineStr">
        <is>
          <t>Resolvido — via audit + bloco no doc</t>
        </is>
      </c>
      <c r="J24" s="70" t="inlineStr">
        <is>
          <t>Leitura do audit (asm/captura) propagada como bloco Correction; não re-derivada aqui (ver PROVENANCE-AUDIT.md).</t>
        </is>
      </c>
      <c r="K24" s="70" t="inlineStr">
        <is>
          <t>C2</t>
        </is>
      </c>
    </row>
    <row r="25" ht="22.35" customHeight="1" s="21">
      <c r="A25" s="65" t="inlineStr">
        <is>
          <t>AUD-C2-12</t>
        </is>
      </c>
      <c r="B25" s="67" t="inlineStr">
        <is>
          <t>C2-sync-path.md</t>
        </is>
      </c>
      <c r="C25" s="67" t="inlineStr">
        <is>
          <t>66</t>
        </is>
      </c>
      <c r="D25" s="67" t="inlineStr">
        <is>
          <t>"B5 §6c cap 50 … Studio One"</t>
        </is>
      </c>
      <c r="E25" s="66" t="inlineStr">
        <is>
          <t>4</t>
        </is>
      </c>
      <c r="F25" s="66" t="inlineStr">
        <is>
          <t>baixa</t>
        </is>
      </c>
      <c r="G25" s="67" t="inlineStr">
        <is>
          <t>The file is `50-ioreg-logic-playback.txt`; values verified (48/231); confirm which DAW.</t>
        </is>
      </c>
      <c r="H25" s="66" t="inlineStr">
        <is>
          <t>Resolvido</t>
        </is>
      </c>
      <c r="I25" s="70" t="inlineStr">
        <is>
          <t>Resolvido — verificado no asm</t>
        </is>
      </c>
      <c r="J25" s="70" t="inlineStr">
        <is>
          <t>PROVENANCE-RESOLUTIONS.md §R16 (capture readings; FFADO avc_signal_source.cpp:33; kext 0x12c7e); bloco Correction inserido no doc.</t>
        </is>
      </c>
      <c r="K25" s="70" t="inlineStr">
        <is>
          <t>C2</t>
        </is>
      </c>
    </row>
    <row r="26" ht="15" customHeight="1" s="21">
      <c r="A26" s="65" t="inlineStr">
        <is>
          <t>AUD-C3-01</t>
        </is>
      </c>
      <c r="B26" s="67" t="inlineStr">
        <is>
          <t>C3-comm-path.md</t>
        </is>
      </c>
      <c r="C26" s="67" t="inlineStr">
        <is>
          <t>22, 41-53</t>
        </is>
      </c>
      <c r="D26" s="67" t="inlineStr">
        <is>
          <t>"12-byte HSCI vendor-dependent CONTROL … 10..11 padding"</t>
        </is>
      </c>
      <c r="E26" s="66" t="inlineStr">
        <is>
          <t>4/2</t>
        </is>
      </c>
      <c r="F26" s="66" t="inlineStr">
        <is>
          <t>alta</t>
        </is>
      </c>
      <c r="G26" s="67" t="inlineStr">
        <is>
          <t>16-byte buffer, len 0x10 @0xe441; 12-byte is snd-bebob only.</t>
        </is>
      </c>
      <c r="H26" s="66" t="inlineStr">
        <is>
          <t>Resolvido</t>
        </is>
      </c>
      <c r="I26" s="70" t="inlineStr">
        <is>
          <t>Resolvido — verificado no asm</t>
        </is>
      </c>
      <c r="J26" s="70" t="inlineStr">
        <is>
          <t>PROVENANCE-RESOLUTIONS.md §R3 (bzero 0x10 @0xe284, len 0x10 @0xe441); bloco Correction inserido no doc.</t>
        </is>
      </c>
      <c r="K26" s="70" t="inlineStr">
        <is>
          <t>C3</t>
        </is>
      </c>
    </row>
    <row r="27" ht="22.35" customHeight="1" s="21">
      <c r="A27" s="65" t="inlineStr">
        <is>
          <t>AUD-C3-02</t>
        </is>
      </c>
      <c r="B27" s="67" t="inlineStr">
        <is>
          <t>C3-comm-path.md</t>
        </is>
      </c>
      <c r="C27" s="67" t="inlineStr">
        <is>
          <t>55, 267</t>
        </is>
      </c>
      <c r="D27" s="67" t="inlineStr">
        <is>
          <t>"OUTPUT … 0x18 → IOSleep(0x64) = 100 ms → INPUT … 0x19 … on-workloop"</t>
        </is>
      </c>
      <c r="E27" s="66" t="inlineStr">
        <is>
          <t>4</t>
        </is>
      </c>
      <c r="F27" s="66" t="inlineStr">
        <is>
          <t>alta</t>
        </is>
      </c>
      <c r="G27" s="67" t="inlineStr">
        <is>
          <t>No IOSleep(0x64) on this path (only 0x24690).</t>
        </is>
      </c>
      <c r="H27" s="66" t="inlineStr">
        <is>
          <t>Resolvido</t>
        </is>
      </c>
      <c r="I27" s="70" t="inlineStr">
        <is>
          <t>Resolvido — verificado no asm</t>
        </is>
      </c>
      <c r="J27" s="70" t="inlineStr">
        <is>
          <t>PROVENANCE-RESOLUTIONS.md §R1 (ConnectAudioMIDIChannels 0x121c9..0x122bb); bloco Correction inserido no doc.</t>
        </is>
      </c>
      <c r="K27" s="70" t="inlineStr">
        <is>
          <t>C3</t>
        </is>
      </c>
    </row>
    <row r="28" ht="22.35" customHeight="1" s="21">
      <c r="A28" s="65" t="inlineStr">
        <is>
          <t>AUD-C3-03</t>
        </is>
      </c>
      <c r="B28" s="67" t="inlineStr">
        <is>
          <t>C3-comm-path.md</t>
        </is>
      </c>
      <c r="C28" s="67" t="inlineStr">
        <is>
          <t>57</t>
        </is>
      </c>
      <c r="D28" s="67" t="inlineStr">
        <is>
          <t>"firmware is read-shy and may freeze on arbitrary async reads … no async reads outside the HSCI window"</t>
        </is>
      </c>
      <c r="E28" s="66" t="inlineStr">
        <is>
          <t>2/4</t>
        </is>
      </c>
      <c r="F28" s="66" t="inlineStr">
        <is>
          <t>média</t>
        </is>
      </c>
      <c r="G28" s="67" t="inlineStr">
        <is>
          <t>FFADO special_avdevice.cpp:161 says only "can't respond against frequent requests"; the kext reads PCRs (0x244f0).</t>
        </is>
      </c>
      <c r="H28" s="66" t="inlineStr">
        <is>
          <t>Aberto</t>
        </is>
      </c>
      <c r="I28" s="70" t="inlineStr">
        <is>
          <t>Aberto — precisa de pesquisa/captura</t>
        </is>
      </c>
      <c r="J28" s="70" t="inlineStr">
        <is>
          <t>Firmware "read-shy": só FFADO; testar no hardware. Doc rotulado como não verificado.</t>
        </is>
      </c>
      <c r="K28" s="70" t="inlineStr">
        <is>
          <t>C3</t>
        </is>
      </c>
    </row>
    <row r="29" ht="15" customHeight="1" s="21">
      <c r="A29" s="65" t="inlineStr">
        <is>
          <t>AUD-C3-04</t>
        </is>
      </c>
      <c r="B29" s="67" t="inlineStr">
        <is>
          <t>C3-comm-path.md</t>
        </is>
      </c>
      <c r="C29" s="67" t="inlineStr">
        <is>
          <t>59</t>
        </is>
      </c>
      <c r="D29" s="67" t="inlineStr">
        <is>
          <t>"The kext checks this inside AVCCommand"</t>
        </is>
      </c>
      <c r="E29" s="66" t="inlineStr">
        <is>
          <t>1</t>
        </is>
      </c>
      <c r="F29" s="66" t="inlineStr">
        <is>
          <t>baixa</t>
        </is>
      </c>
      <c r="G29" s="67" t="inlineStr">
        <is>
          <t>Find response-code compare after `[+0x268]-&gt;vt[0x8b8]`.</t>
        </is>
      </c>
      <c r="H29" s="66" t="inlineStr">
        <is>
          <t>Rotulado</t>
        </is>
      </c>
      <c r="I29" s="70" t="inlineStr">
        <is>
          <t>Rotulado como não verificado</t>
        </is>
      </c>
      <c r="J29" s="70" t="inlineStr">
        <is>
          <t>Bloco Correction no doc marca a afirmação como hipótese/estimativa e nomeia a verificação (ver coluna G).</t>
        </is>
      </c>
      <c r="K29" s="70" t="inlineStr">
        <is>
          <t>C3</t>
        </is>
      </c>
    </row>
    <row r="30" ht="22.35" customHeight="1" s="21">
      <c r="A30" s="65" t="inlineStr">
        <is>
          <t>AUD-C3-05</t>
        </is>
      </c>
      <c r="B30" s="67" t="inlineStr">
        <is>
          <t>C3-comm-path.md</t>
        </is>
      </c>
      <c r="C30" s="67" t="inlineStr">
        <is>
          <t>26, 131-142, 154</t>
        </is>
      </c>
      <c r="D30" s="67" t="inlineStr">
        <is>
          <t>bodyType table 0/1 peak/2 rate-lock; "three bodyTypes represent real kext-side events"</t>
        </is>
      </c>
      <c r="E30" s="66" t="inlineStr">
        <is>
          <t>4</t>
        </is>
      </c>
      <c r="F30" s="66" t="inlineStr">
        <is>
          <t>média</t>
        </is>
      </c>
      <c r="G30" s="67" t="inlineStr">
        <is>
          <t>Q-UC §4: type-1 port = MIDI-in, type 2 rejected (correction only at L308).</t>
        </is>
      </c>
      <c r="H30" s="66" t="inlineStr">
        <is>
          <t>Resolvido</t>
        </is>
      </c>
      <c r="I30" s="70" t="inlineStr">
        <is>
          <t>Resolvido — via audit + bloco no doc</t>
        </is>
      </c>
      <c r="J30" s="70" t="inlineStr">
        <is>
          <t>Leitura do audit (asm/captura) propagada como bloco Correction; não re-derivada aqui (ver PROVENANCE-AUDIT.md).</t>
        </is>
      </c>
      <c r="K30" s="70" t="inlineStr">
        <is>
          <t>C3</t>
        </is>
      </c>
    </row>
    <row r="31" ht="15" customHeight="1" s="21">
      <c r="A31" s="65" t="inlineStr">
        <is>
          <t>AUD-C3-06</t>
        </is>
      </c>
      <c r="B31" s="67" t="inlineStr">
        <is>
          <t>C3-comm-path.md</t>
        </is>
      </c>
      <c r="C31" s="67" t="inlineStr">
        <is>
          <t>27, 160, 174, 269</t>
        </is>
      </c>
      <c r="D31" s="67" t="inlineStr">
        <is>
          <t>"Kext writes peak-meter samples into it on a 30 Hz timer"</t>
        </is>
      </c>
      <c r="E31" s="66" t="inlineStr">
        <is>
          <t>4</t>
        </is>
      </c>
      <c r="F31" s="66" t="inlineStr">
        <is>
          <t>alta</t>
        </is>
      </c>
      <c r="G31" s="67" t="inlineStr">
        <is>
          <t>Writer = ReceiveControlPacket @0xe9ea (Q-UC §3).</t>
        </is>
      </c>
      <c r="H31" s="66" t="inlineStr">
        <is>
          <t>Resolvido</t>
        </is>
      </c>
      <c r="I31" s="70" t="inlineStr">
        <is>
          <t>Resolvido — verificado no asm</t>
        </is>
      </c>
      <c r="J31" s="70" t="inlineStr">
        <is>
          <t>PROVENANCE-RESOLUTIONS.md §R6 (FWUserClient vt 0x33c50, GetPeakLevelCount, HSCI thread); bloco Correction inserido no doc.</t>
        </is>
      </c>
      <c r="K31" s="70" t="inlineStr">
        <is>
          <t>C3</t>
        </is>
      </c>
    </row>
    <row r="32" ht="15" customHeight="1" s="21">
      <c r="A32" s="65" t="inlineStr">
        <is>
          <t>AUD-C3-07</t>
        </is>
      </c>
      <c r="B32" s="67" t="inlineStr">
        <is>
          <t>C3-comm-path.md</t>
        </is>
      </c>
      <c r="C32" s="67" t="inlineStr">
        <is>
          <t>86</t>
        </is>
      </c>
      <c r="D32" s="67" t="inlineStr">
        <is>
          <t>"AV/C transactions cost ~1 ms each; … ~88 ms per edit"</t>
        </is>
      </c>
      <c r="E32" s="66" t="inlineStr">
        <is>
          <t>5</t>
        </is>
      </c>
      <c r="F32" s="66" t="inlineStr">
        <is>
          <t>baixa</t>
        </is>
      </c>
      <c r="G32" s="67" t="inlineStr">
        <is>
          <t>No capture.</t>
        </is>
      </c>
      <c r="H32" s="66" t="inlineStr">
        <is>
          <t>Aberto</t>
        </is>
      </c>
      <c r="I32" s="70" t="inlineStr">
        <is>
          <t>Aberto — precisa de pesquisa/captura</t>
        </is>
      </c>
      <c r="J32" s="70" t="inlineStr">
        <is>
          <t>Custo de ~1 ms por AV/C: medir com DTrace no SL. Doc rotulado como não verificado.</t>
        </is>
      </c>
      <c r="K32" s="70" t="inlineStr">
        <is>
          <t>C3</t>
        </is>
      </c>
    </row>
    <row r="33" ht="22.35" customHeight="1" s="21">
      <c r="A33" s="65" t="inlineStr">
        <is>
          <t>AUD-C3-08</t>
        </is>
      </c>
      <c r="B33" s="67" t="inlineStr">
        <is>
          <t>C3-comm-path.md</t>
        </is>
      </c>
      <c r="C33" s="67" t="inlineStr">
        <is>
          <t>172</t>
        </is>
      </c>
      <c r="D33" s="67" t="inlineStr">
        <is>
          <t>"Type 0 is reserved for the serialized dirty-dict handoff"</t>
        </is>
      </c>
      <c r="E33" s="66" t="inlineStr">
        <is>
          <t>4</t>
        </is>
      </c>
      <c r="F33" s="66" t="inlineStr">
        <is>
          <t>média</t>
        </is>
      </c>
      <c r="G33" s="67" t="inlineStr">
        <is>
          <t>clientMemoryForType @0x7220 accepts only 1, 0x400+n, 0x800+n; others return 0xE00002C7.</t>
        </is>
      </c>
      <c r="H33" s="66" t="inlineStr">
        <is>
          <t>Resolvido</t>
        </is>
      </c>
      <c r="I33" s="70" t="inlineStr">
        <is>
          <t>Resolvido — via audit + bloco no doc</t>
        </is>
      </c>
      <c r="J33" s="70" t="inlineStr">
        <is>
          <t>Leitura do audit (asm/captura) propagada como bloco Correction; não re-derivada aqui (ver PROVENANCE-AUDIT.md).</t>
        </is>
      </c>
      <c r="K33" s="70" t="inlineStr">
        <is>
          <t>C3</t>
        </is>
      </c>
    </row>
    <row r="34" ht="15" customHeight="1" s="21">
      <c r="A34" s="65" t="inlineStr">
        <is>
          <t>AUD-C3-09</t>
        </is>
      </c>
      <c r="B34" s="67" t="inlineStr">
        <is>
          <t>C3-comm-path.md</t>
        </is>
      </c>
      <c r="C34" s="67" t="inlineStr">
        <is>
          <t>184-189</t>
        </is>
      </c>
      <c r="D34" s="67" t="inlineStr">
        <is>
          <t>selector table incl. "506/507 … literal xor eax; ret no-ops"</t>
        </is>
      </c>
      <c r="E34" s="66" t="inlineStr">
        <is>
          <t>4</t>
        </is>
      </c>
      <c r="F34" s="66" t="inlineStr">
        <is>
          <t>média</t>
        </is>
      </c>
      <c r="G34" s="67" t="inlineStr">
        <is>
          <t>Q-UC §2 (sMethods 0x339e0, vt 0x968/0x970).</t>
        </is>
      </c>
      <c r="H34" s="66" t="inlineStr">
        <is>
          <t>Resolvido</t>
        </is>
      </c>
      <c r="I34" s="70" t="inlineStr">
        <is>
          <t>Resolvido — verificado no asm</t>
        </is>
      </c>
      <c r="J34" s="70" t="inlineStr">
        <is>
          <t>PROVENANCE-RESOLUTIONS.md §R6 (FWUserClient vt 0x33c50, GetPeakLevelCount, HSCI thread); bloco Correction inserido no doc.</t>
        </is>
      </c>
      <c r="K34" s="70" t="inlineStr">
        <is>
          <t>C3</t>
        </is>
      </c>
    </row>
    <row r="35" ht="22.35" customHeight="1" s="21">
      <c r="A35" s="65" t="inlineStr">
        <is>
          <t>AUD-C3-10</t>
        </is>
      </c>
      <c r="B35" s="67" t="inlineStr">
        <is>
          <t>C3-comm-path.md</t>
        </is>
      </c>
      <c r="C35" s="67" t="inlineStr">
        <is>
          <t>194</t>
        </is>
      </c>
      <c r="D35" s="67" t="inlineStr">
        <is>
          <t>"timestamped at +0x010 and realtime at +0x808"</t>
        </is>
      </c>
      <c r="E35" s="66" t="inlineStr">
        <is>
          <t>4</t>
        </is>
      </c>
      <c r="F35" s="66" t="inlineStr">
        <is>
          <t>média</t>
        </is>
      </c>
      <c r="G35" s="67" t="inlineStr">
        <is>
          <t>Contradicts C5:269 (+0x000); A3-M4:23 sets this[0x10]=ptr, so offset 0 in the mapping.</t>
        </is>
      </c>
      <c r="H35" s="66" t="inlineStr">
        <is>
          <t>Resolvido</t>
        </is>
      </c>
      <c r="I35" s="70" t="inlineStr">
        <is>
          <t>Resolvido — verificado no asm</t>
        </is>
      </c>
      <c r="J35" s="70" t="inlineStr">
        <is>
          <t>PROVENANCE-RESOLUTIONS.md §R11 (TKernelMIDIPort::Init 0x1e64a); bloco Correction inserido no doc.</t>
        </is>
      </c>
      <c r="K35" s="70" t="inlineStr">
        <is>
          <t>C3</t>
        </is>
      </c>
    </row>
    <row r="36" ht="22.35" customHeight="1" s="21">
      <c r="A36" s="65" t="inlineStr">
        <is>
          <t>AUD-C3-11</t>
        </is>
      </c>
      <c r="B36" s="67" t="inlineStr">
        <is>
          <t>C3-comm-path.md</t>
        </is>
      </c>
      <c r="C36" s="67" t="inlineStr">
        <is>
          <t>214, 283</t>
        </is>
      </c>
      <c r="D36" s="67" t="inlineStr">
        <is>
          <t>"exact 12-byte cue appears somewhere inside the kext … open"</t>
        </is>
      </c>
      <c r="E36" s="66" t="inlineStr">
        <is>
          <t>4</t>
        </is>
      </c>
      <c r="F36" s="66" t="inlineStr">
        <is>
          <t>baixa</t>
        </is>
      </c>
      <c r="G36" s="67" t="inlineStr">
        <is>
          <t>Resolved: FirmwareStart @0x1befa-0x1bf34 writes 12 bytes {[+0x98], 0x01110000, 0} to 0xFFFF:C8021000.</t>
        </is>
      </c>
      <c r="H36" s="66" t="inlineStr">
        <is>
          <t>Resolvido</t>
        </is>
      </c>
      <c r="I36" s="70" t="inlineStr">
        <is>
          <t>Resolvido — via audit + bloco no doc</t>
        </is>
      </c>
      <c r="J36" s="70" t="inlineStr">
        <is>
          <t>Leitura do audit (asm/captura) propagada como bloco Correction; não re-derivada aqui (ver PROVENANCE-AUDIT.md).</t>
        </is>
      </c>
      <c r="K36" s="70" t="inlineStr">
        <is>
          <t>C3</t>
        </is>
      </c>
    </row>
    <row r="37" ht="22.35" customHeight="1" s="21">
      <c r="A37" s="65" t="inlineStr">
        <is>
          <t>AUD-C3-12</t>
        </is>
      </c>
      <c r="B37" s="67" t="inlineStr">
        <is>
          <t>C3-comm-path.md</t>
        </is>
      </c>
      <c r="C37" s="67" t="inlineStr">
        <is>
          <t>261</t>
        </is>
      </c>
      <c r="D37" s="67" t="inlineStr">
        <is>
          <t>"isoch RX/TX callbacks fire from DCL callproc nodes — same workloop context (A1-Q1)"</t>
        </is>
      </c>
      <c r="E37" s="66" t="inlineStr">
        <is>
          <t>1</t>
        </is>
      </c>
      <c r="F37" s="66" t="inlineStr">
        <is>
          <t>média</t>
        </is>
      </c>
      <c r="G37" s="67" t="inlineStr">
        <is>
          <t>Q1 does not show this; trace the callproc context.</t>
        </is>
      </c>
      <c r="H37" s="66" t="inlineStr">
        <is>
          <t>Rotulado</t>
        </is>
      </c>
      <c r="I37" s="70" t="inlineStr">
        <is>
          <t>Rotulado como não verificado</t>
        </is>
      </c>
      <c r="J37" s="70" t="inlineStr">
        <is>
          <t>Bloco Correction no doc marca a afirmação como hipótese/estimativa e nomeia a verificação (ver coluna G).</t>
        </is>
      </c>
      <c r="K37" s="70" t="inlineStr">
        <is>
          <t>C3</t>
        </is>
      </c>
    </row>
    <row r="38" ht="15" customHeight="1" s="21">
      <c r="A38" s="65" t="inlineStr">
        <is>
          <t>AUD-C3-13</t>
        </is>
      </c>
      <c r="B38" s="67" t="inlineStr">
        <is>
          <t>C3-comm-path.md</t>
        </is>
      </c>
      <c r="C38" s="67" t="inlineStr">
        <is>
          <t>265</t>
        </is>
      </c>
      <c r="D38" s="67" t="inlineStr">
        <is>
          <t>"AVCCommand blocks until the response arrives (~1 ms)"</t>
        </is>
      </c>
      <c r="E38" s="66" t="inlineStr">
        <is>
          <t>5</t>
        </is>
      </c>
      <c r="F38" s="66" t="inlineStr">
        <is>
          <t>baixa</t>
        </is>
      </c>
      <c r="G38" s="67" t="inlineStr">
        <is>
          <t>No capture.</t>
        </is>
      </c>
      <c r="H38" s="66" t="inlineStr">
        <is>
          <t>Aberto</t>
        </is>
      </c>
      <c r="I38" s="70" t="inlineStr">
        <is>
          <t>Aberto — precisa de pesquisa/captura</t>
        </is>
      </c>
      <c r="J38" s="70" t="inlineStr">
        <is>
          <t>Idem C3-07. Doc rotulado como não verificado.</t>
        </is>
      </c>
      <c r="K38" s="70" t="inlineStr">
        <is>
          <t>C3</t>
        </is>
      </c>
    </row>
    <row r="39" ht="22.35" customHeight="1" s="21">
      <c r="A39" s="65" t="inlineStr">
        <is>
          <t>AUD-C4-01</t>
        </is>
      </c>
      <c r="B39" s="67" t="inlineStr">
        <is>
          <t>C4-transport-control-path.md</t>
        </is>
      </c>
      <c r="C39" s="67" t="inlineStr">
        <is>
          <t>15, 30, 236, 241, 247, 251</t>
        </is>
      </c>
      <c r="D39" s="67" t="inlineStr">
        <is>
          <t>"BeginFormatChange → stopStreams … startStreams → EndFormatChange … vt[+0xb00]/vt[+0xb10]"</t>
        </is>
      </c>
      <c r="E39" s="66" t="inlineStr">
        <is>
          <t>4</t>
        </is>
      </c>
      <c r="F39" s="66" t="inlineStr">
        <is>
          <t>alta</t>
        </is>
      </c>
      <c r="G39" s="67" t="inlineStr">
        <is>
          <t>b00 = beginConfigurationChange, b10 = cancelConfigurationChange (error path only).</t>
        </is>
      </c>
      <c r="H39" s="66" t="inlineStr">
        <is>
          <t>Resolvido</t>
        </is>
      </c>
      <c r="I39" s="70" t="inlineStr">
        <is>
          <t>Resolvido — verificado no asm</t>
        </is>
      </c>
      <c r="J39" s="70" t="inlineStr">
        <is>
          <t>PROVENANCE-RESOLUTIONS.md §R2 (vtables 0x391c0/0x369b0 + otool -rv); bloco Correction inserido no doc.</t>
        </is>
      </c>
      <c r="K39" s="70" t="inlineStr">
        <is>
          <t>C4</t>
        </is>
      </c>
    </row>
    <row r="40" ht="22.35" customHeight="1" s="21">
      <c r="A40" s="65" t="inlineStr">
        <is>
          <t>AUD-C4-02</t>
        </is>
      </c>
      <c r="B40" s="67" t="inlineStr">
        <is>
          <t>C4-transport-control-path.md</t>
        </is>
      </c>
      <c r="C40" s="67" t="inlineStr">
        <is>
          <t>29</t>
        </is>
      </c>
      <c r="D40" s="67" t="inlineStr">
        <is>
          <t>"fIsAC3=0xa5"</t>
        </is>
      </c>
      <c r="E40" s="66" t="inlineStr">
        <is>
          <t>4</t>
        </is>
      </c>
      <c r="F40" s="66" t="inlineStr">
        <is>
          <t>média</t>
        </is>
      </c>
      <c r="G40" s="67" t="inlineStr">
        <is>
          <t>Conflicts with Q15c:162 / C2:208 (AC3 at +0x2d4); `[+0xa5]` gates beginConfigurationChange @0x42c4; meaning unverified.</t>
        </is>
      </c>
      <c r="H40" s="66" t="inlineStr">
        <is>
          <t>Resolvido</t>
        </is>
      </c>
      <c r="I40" s="70" t="inlineStr">
        <is>
          <t>Resolvido — verificado no asm</t>
        </is>
      </c>
      <c r="J40" s="70" t="inlineStr">
        <is>
          <t>PROVENANCE-RESOLUTIONS.md §R8 (IOAudioFamily 10.13.6 beginConfigurationChange 0xa3d8 writes [+0xa5]); bloco Correction inserido no doc.</t>
        </is>
      </c>
      <c r="K40" s="70" t="inlineStr">
        <is>
          <t>C4</t>
        </is>
      </c>
    </row>
    <row r="41" ht="22.35" customHeight="1" s="21">
      <c r="A41" s="65" t="inlineStr">
        <is>
          <t>AUD-C4-03</t>
        </is>
      </c>
      <c r="B41" s="67" t="inlineStr">
        <is>
          <t>C4-transport-control-path.md</t>
        </is>
      </c>
      <c r="C41" s="67" t="inlineStr">
        <is>
          <t>70-76</t>
        </is>
      </c>
      <c r="D41" s="67" t="inlineStr">
        <is>
          <t>per-mode channel counts cited to snd-bebob only</t>
        </is>
      </c>
      <c r="E41" s="66" t="inlineStr">
        <is>
          <t>2</t>
        </is>
      </c>
      <c r="F41" s="66" t="inlineStr">
        <is>
          <t>baixa</t>
        </is>
      </c>
      <c r="G41" s="67" t="inlineStr">
        <is>
          <t>Values verified OK against kext tables (0x363c0/0x364a0/0x36580/0x4ab80); cite those instead.</t>
        </is>
      </c>
      <c r="H41" s="66" t="inlineStr">
        <is>
          <t>Resolvido</t>
        </is>
      </c>
      <c r="I41" s="70" t="inlineStr">
        <is>
          <t>Resolvido — verificado no asm</t>
        </is>
      </c>
      <c r="J41" s="70" t="inlineStr">
        <is>
          <t>PROVENANCE-RESOLUTIONS.md §R12 (SetupAudioEngine 0xed34; SL 67a/67b); bloco Correction inserido no doc.</t>
        </is>
      </c>
      <c r="K41" s="70" t="inlineStr">
        <is>
          <t>C4</t>
        </is>
      </c>
    </row>
    <row r="42" ht="22.35" customHeight="1" s="21">
      <c r="A42" s="65" t="inlineStr">
        <is>
          <t>AUD-C4-04</t>
        </is>
      </c>
      <c r="B42" s="67" t="inlineStr">
        <is>
          <t>C4-transport-control-path.md</t>
        </is>
      </c>
      <c r="C42" s="67" t="inlineStr">
        <is>
          <t>80</t>
        </is>
      </c>
      <c r="D42" s="67" t="inlineStr">
        <is>
          <t>"early return kIOReturnBusy if already connected"</t>
        </is>
      </c>
      <c r="E42" s="66" t="inlineStr">
        <is>
          <t>4</t>
        </is>
      </c>
      <c r="F42" s="66" t="inlineStr">
        <is>
          <t>baixa</t>
        </is>
      </c>
      <c r="G42" s="67" t="inlineStr">
        <is>
          <t>asm 0x12488 returns 0xE00002BC; bandwidth failure returns 0xE00002BE.</t>
        </is>
      </c>
      <c r="H42" s="66" t="inlineStr">
        <is>
          <t>Resolvido</t>
        </is>
      </c>
      <c r="I42" s="70" t="inlineStr">
        <is>
          <t>Resolvido — via audit + bloco no doc</t>
        </is>
      </c>
      <c r="J42" s="70" t="inlineStr">
        <is>
          <t>Leitura do audit (asm/captura) propagada como bloco Correction; não re-derivada aqui (ver PROVENANCE-AUDIT.md).</t>
        </is>
      </c>
      <c r="K42" s="70" t="inlineStr">
        <is>
          <t>C4</t>
        </is>
      </c>
    </row>
    <row r="43" ht="15" customHeight="1" s="21">
      <c r="A43" s="65" t="inlineStr">
        <is>
          <t>AUD-C4-05</t>
        </is>
      </c>
      <c r="B43" s="67" t="inlineStr">
        <is>
          <t>C4-transport-control-path.md</t>
        </is>
      </c>
      <c r="C43" s="67" t="inlineStr">
        <is>
          <t>85</t>
        </is>
      </c>
      <c r="D43" s="67" t="inlineStr">
        <is>
          <t>"snd-bebob special-firmware-notes.md:85-87"</t>
        </is>
      </c>
      <c r="E43" s="66" t="inlineStr">
        <is>
          <t>4</t>
        </is>
      </c>
      <c r="F43" s="66" t="inlineStr">
        <is>
          <t>baixa</t>
        </is>
      </c>
      <c r="G43" s="67" t="inlineStr">
        <is>
          <t>That file is macfw's.</t>
        </is>
      </c>
      <c r="H43" s="66" t="inlineStr">
        <is>
          <t>Resolvido</t>
        </is>
      </c>
      <c r="I43" s="70" t="inlineStr">
        <is>
          <t>Resolvido — via audit + bloco no doc</t>
        </is>
      </c>
      <c r="J43" s="70" t="inlineStr">
        <is>
          <t>Leitura do audit (asm/captura) propagada como bloco Correction; não re-derivada aqui (ver PROVENANCE-AUDIT.md).</t>
        </is>
      </c>
      <c r="K43" s="70" t="inlineStr">
        <is>
          <t>C4</t>
        </is>
      </c>
    </row>
    <row r="44" ht="22.35" customHeight="1" s="21">
      <c r="A44" s="65" t="inlineStr">
        <is>
          <t>AUD-C4-06</t>
        </is>
      </c>
      <c r="B44" s="67" t="inlineStr">
        <is>
          <t>C4-transport-control-path.md</t>
        </is>
      </c>
      <c r="C44" s="67" t="inlineStr">
        <is>
          <t>85-92</t>
        </is>
      </c>
      <c r="D44" s="67" t="inlineStr">
        <is>
          <t>"Start order — hardware-proven … Reversing this fails the second CMP connect"</t>
        </is>
      </c>
      <c r="E44" s="66" t="inlineStr">
        <is>
          <t>2</t>
        </is>
      </c>
      <c r="F44" s="66" t="inlineStr">
        <is>
          <t>média</t>
        </is>
      </c>
      <c r="G44" s="67" t="inlineStr">
        <is>
          <t>The reference starts TX, then INPUT format, then RX, then OUTPUT format (0x121c9-0x122bb); no capture for "fails".</t>
        </is>
      </c>
      <c r="H44" s="66" t="inlineStr">
        <is>
          <t>Aberto</t>
        </is>
      </c>
      <c r="I44" s="70" t="inlineStr">
        <is>
          <t>Aberto — precisa de pesquisa/captura</t>
        </is>
      </c>
      <c r="J44" s="70" t="inlineStr">
        <is>
          <t>Ordem de start "hardware-proven": sem captura arquivada; precisa de captura no SL. Doc rotulado como não verificado.</t>
        </is>
      </c>
      <c r="K44" s="70" t="inlineStr">
        <is>
          <t>C4</t>
        </is>
      </c>
    </row>
    <row r="45" ht="15" customHeight="1" s="21">
      <c r="A45" s="65" t="inlineStr">
        <is>
          <t>AUD-C4-07</t>
        </is>
      </c>
      <c r="B45" s="67" t="inlineStr">
        <is>
          <t>C4-transport-control-path.md</t>
        </is>
      </c>
      <c r="C45" s="67" t="inlineStr">
        <is>
          <t>102-103, 143</t>
        </is>
      </c>
      <c r="D45" s="67" t="inlineStr">
        <is>
          <t>"label[i] (op 11)", "SetTagSyncBits (op 9)"</t>
        </is>
      </c>
      <c r="E45" s="66" t="inlineStr">
        <is>
          <t>4</t>
        </is>
      </c>
      <c r="F45" s="66" t="inlineStr">
        <is>
          <t>média</t>
        </is>
      </c>
      <c r="G45" s="67" t="inlineStr">
        <is>
          <t>AddLabel $0x9 @0x6bdd; AddSetTagSyncBits $0xb @0x6d34.</t>
        </is>
      </c>
      <c r="H45" s="66" t="inlineStr">
        <is>
          <t>Resolvido</t>
        </is>
      </c>
      <c r="I45" s="70" t="inlineStr">
        <is>
          <t>Resolvido — verificado no asm</t>
        </is>
      </c>
      <c r="J45" s="70" t="inlineStr">
        <is>
          <t>PROVENANCE-RESOLUTIONS.md §R5 (FirmwareHalt, CIP, opcodes, FDF); bloco Correction inserido no doc.</t>
        </is>
      </c>
      <c r="K45" s="70" t="inlineStr">
        <is>
          <t>C4</t>
        </is>
      </c>
    </row>
    <row r="46" ht="22.35" customHeight="1" s="21">
      <c r="A46" s="65" t="inlineStr">
        <is>
          <t>AUD-C4-08</t>
        </is>
      </c>
      <c r="B46" s="67" t="inlineStr">
        <is>
          <t>C4-transport-control-path.md</t>
        </is>
      </c>
      <c r="C46" s="67" t="inlineStr">
        <is>
          <t>133-135, 478</t>
        </is>
      </c>
      <c r="D46" s="67" t="inlineStr">
        <is>
          <t>"timestamp node is what makes OHCI raise an interrupt"; "classic DCL compilers set [s] on CallProc + the timestamp node"</t>
        </is>
      </c>
      <c r="E46" s="66" t="inlineStr">
        <is>
          <t>1</t>
        </is>
      </c>
      <c r="F46" s="66" t="inlineStr">
        <is>
          <t>alta</t>
        </is>
      </c>
      <c r="G46" s="67" t="inlineStr">
        <is>
          <t>Same as C2:242.</t>
        </is>
      </c>
      <c r="H46" s="66" t="inlineStr">
        <is>
          <t>Resolvido</t>
        </is>
      </c>
      <c r="I46" s="70" t="inlineStr">
        <is>
          <t>Resolvido — verificado no asm</t>
        </is>
      </c>
      <c r="J46" s="70" t="inlineStr">
        <is>
          <t>PROVENANCE-RESOLUTIONS.md §R7 + A1-ghidra/Q-OHCI-interrupt.md (AppleFWOHCI 5.5.9: translateLegacyProgram 0x8d5e, SendDCL::compile 0xd53f, ReceiveDCL::compile 0xcce7); bloco Correction inserido no doc.</t>
        </is>
      </c>
      <c r="K46" s="70" t="inlineStr">
        <is>
          <t>C4</t>
        </is>
      </c>
    </row>
    <row r="47" ht="15" customHeight="1" s="21">
      <c r="A47" s="65" t="inlineStr">
        <is>
          <t>AUD-C4-09</t>
        </is>
      </c>
      <c r="B47" s="67" t="inlineStr">
        <is>
          <t>C4-transport-control-path.md</t>
        </is>
      </c>
      <c r="C47" s="67" t="inlineStr">
        <is>
          <t>204, 209</t>
        </is>
      </c>
      <c r="D47" s="67" t="inlineStr">
        <is>
          <t>"the DM1000 firmware is tuned against the 0xCF idle signature"</t>
        </is>
      </c>
      <c r="E47" s="66" t="inlineStr">
        <is>
          <t>1</t>
        </is>
      </c>
      <c r="F47" s="66" t="inlineStr">
        <is>
          <t>média</t>
        </is>
      </c>
      <c r="G47" s="67" t="inlineStr">
        <is>
          <t>B2:88 labels this a hypothesis; C4:535 also does.</t>
        </is>
      </c>
      <c r="H47" s="66" t="inlineStr">
        <is>
          <t>Aberto</t>
        </is>
      </c>
      <c r="I47" s="70" t="inlineStr">
        <is>
          <t>Aberto — precisa de pesquisa/captura</t>
        </is>
      </c>
      <c r="J47" s="70" t="inlineStr">
        <is>
          <t>Hipótese 0xCF: testar no hardware (label 0x40 vs 0xCF). Doc rotulado como não verificado.</t>
        </is>
      </c>
      <c r="K47" s="70" t="inlineStr">
        <is>
          <t>C4</t>
        </is>
      </c>
    </row>
    <row r="48" ht="22.35" customHeight="1" s="21">
      <c r="A48" s="65" t="inlineStr">
        <is>
          <t>AUD-C4-10</t>
        </is>
      </c>
      <c r="B48" s="67" t="inlineStr">
        <is>
          <t>C4-transport-control-path.md</t>
        </is>
      </c>
      <c r="C48" s="67" t="inlineStr">
        <is>
          <t>234, 243-245</t>
        </is>
      </c>
      <c r="D48" s="67" t="inlineStr">
        <is>
          <t>"vt[+0xaf8] … HSCI envelope emit", "vt[+0xb58] ApplyRateToIsoch", "vt[+0xce0] … AV/C OUTPUT PLUG SIGNAL FORMAT"</t>
        </is>
      </c>
      <c r="E48" s="66" t="inlineStr">
        <is>
          <t>4</t>
        </is>
      </c>
      <c r="F48" s="66" t="inlineStr">
        <is>
          <t>alta</t>
        </is>
      </c>
      <c r="G48" s="67" t="inlineStr">
        <is>
          <t>Top-15 #2-#4.</t>
        </is>
      </c>
      <c r="H48" s="66" t="inlineStr">
        <is>
          <t>Resolvido</t>
        </is>
      </c>
      <c r="I48" s="70" t="inlineStr">
        <is>
          <t>Resolvido — verificado no asm</t>
        </is>
      </c>
      <c r="J48" s="70" t="inlineStr">
        <is>
          <t>PROVENANCE-RESOLUTIONS.md §R2 (vtables 0x391c0/0x369b0 + otool -rv); bloco Correction inserido no doc.</t>
        </is>
      </c>
      <c r="K48" s="70" t="inlineStr">
        <is>
          <t>C4</t>
        </is>
      </c>
    </row>
    <row r="49" ht="15" customHeight="1" s="21">
      <c r="A49" s="65" t="inlineStr">
        <is>
          <t>AUD-C4-11</t>
        </is>
      </c>
      <c r="B49" s="67" t="inlineStr">
        <is>
          <t>C4-transport-control-path.md</t>
        </is>
      </c>
      <c r="C49" s="67" t="inlineStr">
        <is>
          <t>312</t>
        </is>
      </c>
      <c r="D49" s="67" t="inlineStr">
        <is>
          <t>"each AV/C transaction is ~1 ms on this bus"</t>
        </is>
      </c>
      <c r="E49" s="66" t="inlineStr">
        <is>
          <t>5</t>
        </is>
      </c>
      <c r="F49" s="66" t="inlineStr">
        <is>
          <t>baixa</t>
        </is>
      </c>
      <c r="G49" s="67" t="inlineStr">
        <is>
          <t>No capture.</t>
        </is>
      </c>
      <c r="H49" s="66" t="inlineStr">
        <is>
          <t>Aberto</t>
        </is>
      </c>
      <c r="I49" s="70" t="inlineStr">
        <is>
          <t>Aberto — precisa de pesquisa/captura</t>
        </is>
      </c>
      <c r="J49" s="70" t="inlineStr">
        <is>
          <t>Idem C3-07. Doc rotulado como não verificado.</t>
        </is>
      </c>
      <c r="K49" s="70" t="inlineStr">
        <is>
          <t>C4</t>
        </is>
      </c>
    </row>
    <row r="50" ht="15" customHeight="1" s="21">
      <c r="A50" s="65" t="inlineStr">
        <is>
          <t>AUD-C4-12</t>
        </is>
      </c>
      <c r="B50" s="67" t="inlineStr">
        <is>
          <t>C4-transport-control-path.md</t>
        </is>
      </c>
      <c r="C50" s="67" t="inlineStr">
        <is>
          <t>320</t>
        </is>
      </c>
      <c r="D50" s="67" t="inlineStr">
        <is>
          <t>"write-only" register window</t>
        </is>
      </c>
      <c r="E50" s="66" t="inlineStr">
        <is>
          <t>1</t>
        </is>
      </c>
      <c r="F50" s="66" t="inlineStr">
        <is>
          <t>baixa</t>
        </is>
      </c>
      <c r="G50" s="67" t="inlineStr">
        <is>
          <t>No source.</t>
        </is>
      </c>
      <c r="H50" s="66" t="inlineStr">
        <is>
          <t>Rotulado</t>
        </is>
      </c>
      <c r="I50" s="70" t="inlineStr">
        <is>
          <t>Rotulado como não verificado</t>
        </is>
      </c>
      <c r="J50" s="70" t="inlineStr">
        <is>
          <t>Bloco Correction no doc marca a afirmação como hipótese/estimativa e nomeia a verificação (ver coluna G).</t>
        </is>
      </c>
      <c r="K50" s="70" t="inlineStr">
        <is>
          <t>C4</t>
        </is>
      </c>
    </row>
    <row r="51" ht="15" customHeight="1" s="21">
      <c r="A51" s="65" t="inlineStr">
        <is>
          <t>AUD-C4-13</t>
        </is>
      </c>
      <c r="B51" s="67" t="inlineStr">
        <is>
          <t>C4-transport-control-path.md</t>
        </is>
      </c>
      <c r="C51" s="67" t="inlineStr">
        <is>
          <t>371</t>
        </is>
      </c>
      <c r="D51" s="67" t="inlineStr">
        <is>
          <t>"0x8000 on the R-side applies the mute-mask flag per channel per AV/C"</t>
        </is>
      </c>
      <c r="E51" s="66" t="inlineStr">
        <is>
          <t>1</t>
        </is>
      </c>
      <c r="F51" s="66" t="inlineStr">
        <is>
          <t>baixa</t>
        </is>
      </c>
      <c r="G51" s="67" t="inlineStr">
        <is>
          <t>Check the AV/C Audio Subunit spec.</t>
        </is>
      </c>
      <c r="H51" s="66" t="inlineStr">
        <is>
          <t>Rotulado</t>
        </is>
      </c>
      <c r="I51" s="70" t="inlineStr">
        <is>
          <t>Rotulado como não verificado</t>
        </is>
      </c>
      <c r="J51" s="70" t="inlineStr">
        <is>
          <t>Bloco Correction no doc marca a afirmação como hipótese/estimativa e nomeia a verificação (ver coluna G).</t>
        </is>
      </c>
      <c r="K51" s="70" t="inlineStr">
        <is>
          <t>C4</t>
        </is>
      </c>
    </row>
    <row r="52" ht="22.35" customHeight="1" s="21">
      <c r="A52" s="65" t="inlineStr">
        <is>
          <t>AUD-C4-14</t>
        </is>
      </c>
      <c r="B52" s="67" t="inlineStr">
        <is>
          <t>C4-transport-control-path.md</t>
        </is>
      </c>
      <c r="C52" s="67" t="inlineStr">
        <is>
          <t>455, 464</t>
        </is>
      </c>
      <c r="D52" s="67" t="inlineStr">
        <is>
          <t>"ceil(N / floor(4096/S)) + 2 … +2 pages are head/tail padding"; "&amp; ~0xFFF enforces page alignment (BeBoB DMA requirement)"</t>
        </is>
      </c>
      <c r="E52" s="66" t="inlineStr">
        <is>
          <t>4/1</t>
        </is>
      </c>
      <c r="F52" s="66" t="inlineStr">
        <is>
          <t>baixa</t>
        </is>
      </c>
      <c r="G52" s="67" t="inlineStr">
        <is>
          <t>asm 0xa45c-0xa467: floor([+0x18]/[+0x28])+2; the mask is bus-&gt;vt[0x140] physical mask &amp; ~0xFFF.</t>
        </is>
      </c>
      <c r="H52" s="66" t="inlineStr">
        <is>
          <t>Resolvido</t>
        </is>
      </c>
      <c r="I52" s="70" t="inlineStr">
        <is>
          <t>Resolvido — via audit + bloco no doc</t>
        </is>
      </c>
      <c r="J52" s="70" t="inlineStr">
        <is>
          <t>Leitura do audit (asm/captura) propagada como bloco Correction; não re-derivada aqui (ver PROVENANCE-AUDIT.md).</t>
        </is>
      </c>
      <c r="K52" s="70" t="inlineStr">
        <is>
          <t>C4</t>
        </is>
      </c>
    </row>
    <row r="53" ht="15" customHeight="1" s="21">
      <c r="A53" s="65" t="inlineStr">
        <is>
          <t>AUD-C4-15</t>
        </is>
      </c>
      <c r="B53" s="67" t="inlineStr">
        <is>
          <t>C4-transport-control-path.md</t>
        </is>
      </c>
      <c r="C53" s="67" t="inlineStr">
        <is>
          <t>468</t>
        </is>
      </c>
      <c r="D53" s="67" t="inlineStr">
        <is>
          <t>"bzero'd → invalid AM824 label → PLL could not lock → audible clicks"</t>
        </is>
      </c>
      <c r="E53" s="66" t="inlineStr">
        <is>
          <t>1</t>
        </is>
      </c>
      <c r="F53" s="66" t="inlineStr">
        <is>
          <t>média</t>
        </is>
      </c>
      <c r="G53" s="67" t="inlineStr">
        <is>
          <t>No capture ties the clicks to the label.</t>
        </is>
      </c>
      <c r="H53" s="66" t="inlineStr">
        <is>
          <t>Rotulado</t>
        </is>
      </c>
      <c r="I53" s="70" t="inlineStr">
        <is>
          <t>Rotulado como não verificado</t>
        </is>
      </c>
      <c r="J53" s="70" t="inlineStr">
        <is>
          <t>Bloco Correction no doc marca a afirmação como hipótese/estimativa e nomeia a verificação (ver coluna G).</t>
        </is>
      </c>
      <c r="K53" s="70" t="inlineStr">
        <is>
          <t>C4</t>
        </is>
      </c>
    </row>
    <row r="54" ht="22.35" customHeight="1" s="21">
      <c r="A54" s="65" t="inlineStr">
        <is>
          <t>AUD-C4-16</t>
        </is>
      </c>
      <c r="B54" s="67" t="inlineStr">
        <is>
          <t>C4-transport-control-path.md</t>
        </is>
      </c>
      <c r="C54" s="67" t="inlineStr">
        <is>
          <t>505-528, 548</t>
        </is>
      </c>
      <c r="D54" s="67" t="inlineStr">
        <is>
          <t>stream-kick section (also internally swaps INPUT 0x18 / OUTPUT 0x19 at 511-513)</t>
        </is>
      </c>
      <c r="E54" s="66" t="inlineStr">
        <is>
          <t>4</t>
        </is>
      </c>
      <c r="F54" s="66" t="inlineStr">
        <is>
          <t>alta</t>
        </is>
      </c>
      <c r="G54" s="67" t="inlineStr">
        <is>
          <t>Q3a §3 Correction.</t>
        </is>
      </c>
      <c r="H54" s="66" t="inlineStr">
        <is>
          <t>Resolvido</t>
        </is>
      </c>
      <c r="I54" s="70" t="inlineStr">
        <is>
          <t>Resolvido — via audit + bloco no doc</t>
        </is>
      </c>
      <c r="J54" s="70" t="inlineStr">
        <is>
          <t>Leitura do audit (asm/captura) propagada como bloco Correction; não re-derivada aqui (ver PROVENANCE-AUDIT.md).</t>
        </is>
      </c>
      <c r="K54" s="70" t="inlineStr">
        <is>
          <t>C4</t>
        </is>
      </c>
    </row>
    <row r="55" ht="22.35" customHeight="1" s="21">
      <c r="A55" s="65" t="inlineStr">
        <is>
          <t>AUD-C5-01</t>
        </is>
      </c>
      <c r="B55" s="67" t="inlineStr">
        <is>
          <t>C5-userclient-surface.md</t>
        </is>
      </c>
      <c r="C55" s="67" t="inlineStr">
        <is>
          <t>18-22, 47, 346</t>
        </is>
      </c>
      <c r="D55" s="67" t="inlineStr">
        <is>
          <t>"FWKIPCUserClient … dead compiled code"; "only needs to implement one UC class"</t>
        </is>
      </c>
      <c r="E55" s="66" t="inlineStr">
        <is>
          <t>4</t>
        </is>
      </c>
      <c r="F55" s="66" t="inlineStr">
        <is>
          <t>alta</t>
        </is>
      </c>
      <c r="G55" s="67" t="inlineStr">
        <is>
          <t>Q-UC §1: base class of FWUserClient (MetaClass superclass; vt slot 0x960).</t>
        </is>
      </c>
      <c r="H55" s="66" t="inlineStr">
        <is>
          <t>Resolvido</t>
        </is>
      </c>
      <c r="I55" s="70" t="inlineStr">
        <is>
          <t>Resolvido — via audit + bloco no doc</t>
        </is>
      </c>
      <c r="J55" s="70" t="inlineStr">
        <is>
          <t>Leitura do audit (asm/captura) propagada como bloco Correction; não re-derivada aqui (ver PROVENANCE-AUDIT.md).</t>
        </is>
      </c>
      <c r="K55" s="70" t="inlineStr">
        <is>
          <t>C5</t>
        </is>
      </c>
    </row>
    <row r="56" ht="22.35" customHeight="1" s="21">
      <c r="A56" s="65" t="inlineStr">
        <is>
          <t>AUD-C5-02</t>
        </is>
      </c>
      <c r="B56" s="67" t="inlineStr">
        <is>
          <t>C5-userclient-surface.md</t>
        </is>
      </c>
      <c r="C56" s="67" t="inlineStr">
        <is>
          <t>35-43, 347</t>
        </is>
      </c>
      <c r="D56" s="67" t="inlineStr">
        <is>
          <t>503/504/505 counts; "506 … MUST remain no-op … TerminationWaitThread"; "507 … xor eax; ret"</t>
        </is>
      </c>
      <c r="E56" s="66" t="inlineStr">
        <is>
          <t>4</t>
        </is>
      </c>
      <c r="F56" s="66" t="inlineStr">
        <is>
          <t>alta</t>
        </is>
      </c>
      <c r="G56" s="67" t="inlineStr">
        <is>
          <t>sMethods legacy IOExternalMethod; 506 = WaitForTermination, 507 = SetInitializedProperty.</t>
        </is>
      </c>
      <c r="H56" s="66" t="inlineStr">
        <is>
          <t>Resolvido</t>
        </is>
      </c>
      <c r="I56" s="70" t="inlineStr">
        <is>
          <t>Resolvido — via audit + bloco no doc</t>
        </is>
      </c>
      <c r="J56" s="70" t="inlineStr">
        <is>
          <t>Leitura do audit (asm/captura) propagada como bloco Correction; não re-derivada aqui (ver PROVENANCE-AUDIT.md).</t>
        </is>
      </c>
      <c r="K56" s="70" t="inlineStr">
        <is>
          <t>C5</t>
        </is>
      </c>
    </row>
    <row r="57" ht="15" customHeight="1" s="21">
      <c r="A57" s="65" t="inlineStr">
        <is>
          <t>AUD-C5-03</t>
        </is>
      </c>
      <c r="B57" s="67" t="inlineStr">
        <is>
          <t>C5-userclient-surface.md</t>
        </is>
      </c>
      <c r="C57" s="67" t="inlineStr">
        <is>
          <t>54, 352</t>
        </is>
      </c>
      <c r="D57" s="67" t="inlineStr">
        <is>
          <t>"1 = peak (reserved, unused); 2 = rate-lock (reserved, unused)"</t>
        </is>
      </c>
      <c r="E57" s="66" t="inlineStr">
        <is>
          <t>4</t>
        </is>
      </c>
      <c r="F57" s="66" t="inlineStr">
        <is>
          <t>baixa</t>
        </is>
      </c>
      <c r="G57" s="67" t="inlineStr">
        <is>
          <t>Type 1 = MIDI-in port; type 2 rejected (Q-UC §4).</t>
        </is>
      </c>
      <c r="H57" s="66" t="inlineStr">
        <is>
          <t>Resolvido</t>
        </is>
      </c>
      <c r="I57" s="70" t="inlineStr">
        <is>
          <t>Resolvido — via audit + bloco no doc</t>
        </is>
      </c>
      <c r="J57" s="70" t="inlineStr">
        <is>
          <t>Leitura do audit (asm/captura) propagada como bloco Correction; não re-derivada aqui (ver PROVENANCE-AUDIT.md).</t>
        </is>
      </c>
      <c r="K57" s="70" t="inlineStr">
        <is>
          <t>C5</t>
        </is>
      </c>
    </row>
    <row r="58" ht="15" customHeight="1" s="21">
      <c r="A58" s="65" t="inlineStr">
        <is>
          <t>AUD-C5-04</t>
        </is>
      </c>
      <c r="B58" s="67" t="inlineStr">
        <is>
          <t>C5-userclient-surface.md</t>
        </is>
      </c>
      <c r="C58" s="67" t="inlineStr">
        <is>
          <t>67, 79</t>
        </is>
      </c>
      <c r="D58" s="67" t="inlineStr">
        <is>
          <t>dirty-dict BMD mapped "probably type=0"</t>
        </is>
      </c>
      <c r="E58" s="66" t="inlineStr">
        <is>
          <t>4</t>
        </is>
      </c>
      <c r="F58" s="66" t="inlineStr">
        <is>
          <t>média</t>
        </is>
      </c>
      <c r="G58" s="67" t="inlineStr">
        <is>
          <t>clientMemoryForType rejects type 0 (0x7220).</t>
        </is>
      </c>
      <c r="H58" s="66" t="inlineStr">
        <is>
          <t>Resolvido</t>
        </is>
      </c>
      <c r="I58" s="70" t="inlineStr">
        <is>
          <t>Resolvido — via audit + bloco no doc</t>
        </is>
      </c>
      <c r="J58" s="70" t="inlineStr">
        <is>
          <t>Leitura do audit (asm/captura) propagada como bloco Correction; não re-derivada aqui (ver PROVENANCE-AUDIT.md).</t>
        </is>
      </c>
      <c r="K58" s="70" t="inlineStr">
        <is>
          <t>C5</t>
        </is>
      </c>
    </row>
    <row r="59" ht="22.35" customHeight="1" s="21">
      <c r="A59" s="65" t="inlineStr">
        <is>
          <t>AUD-C5-05</t>
        </is>
      </c>
      <c r="B59" s="67" t="inlineStr">
        <is>
          <t>C5-userclient-surface.md</t>
        </is>
      </c>
      <c r="C59" s="67" t="inlineStr">
        <is>
          <t>89-109, 349</t>
        </is>
      </c>
      <c r="D59" s="67" t="inlineStr">
        <is>
          <t>"Kext DSP writer continuous u32 … inCh=18, outCh=14 … 3 regions"</t>
        </is>
      </c>
      <c r="E59" s="66" t="inlineStr">
        <is>
          <t>4</t>
        </is>
      </c>
      <c r="F59" s="66" t="inlineStr">
        <is>
          <t>alta</t>
        </is>
      </c>
      <c r="G59" s="67" t="inlineStr">
        <is>
          <t>uint32_t[52]: 38 hardware + 14 SW-return slots; writer ReceiveControlPacket.</t>
        </is>
      </c>
      <c r="H59" s="66" t="inlineStr">
        <is>
          <t>Resolvido</t>
        </is>
      </c>
      <c r="I59" s="70" t="inlineStr">
        <is>
          <t>Resolvido — via audit + bloco no doc</t>
        </is>
      </c>
      <c r="J59" s="70" t="inlineStr">
        <is>
          <t>Leitura do audit (asm/captura) propagada como bloco Correction; não re-derivada aqui (ver PROVENANCE-AUDIT.md).</t>
        </is>
      </c>
      <c r="K59" s="70" t="inlineStr">
        <is>
          <t>C5</t>
        </is>
      </c>
    </row>
    <row r="60" ht="22.35" customHeight="1" s="21">
      <c r="A60" s="65" t="inlineStr">
        <is>
          <t>AUD-C5-06</t>
        </is>
      </c>
      <c r="B60" s="67" t="inlineStr">
        <is>
          <t>C5-userclient-surface.md</t>
        </is>
      </c>
      <c r="C60" s="67" t="inlineStr">
        <is>
          <t>196-197, 218, 244</t>
        </is>
      </c>
      <c r="D60" s="67" t="inlineStr">
        <is>
          <t>"vtable[0xba8](this, 0x90, 1, &amp;[+0x1308])" called "Opcode byte"</t>
        </is>
      </c>
      <c r="E60" s="66" t="inlineStr">
        <is>
          <t>4</t>
        </is>
      </c>
      <c r="F60" s="66" t="inlineStr">
        <is>
          <t>baixa</t>
        </is>
      </c>
      <c r="G60" s="67" t="inlineStr">
        <is>
          <t>vt[0xba8] = CustomMixerWriteQuads(offset,count,src); 0x90 is a register offset (no correction block in C5).</t>
        </is>
      </c>
      <c r="H60" s="66" t="inlineStr">
        <is>
          <t>Resolvido</t>
        </is>
      </c>
      <c r="I60" s="70" t="inlineStr">
        <is>
          <t>Resolvido — via audit + bloco no doc</t>
        </is>
      </c>
      <c r="J60" s="70" t="inlineStr">
        <is>
          <t>Leitura do audit (asm/captura) propagada como bloco Correction; não re-derivada aqui (ver PROVENANCE-AUDIT.md).</t>
        </is>
      </c>
      <c r="K60" s="70" t="inlineStr">
        <is>
          <t>C5</t>
        </is>
      </c>
    </row>
    <row r="61" ht="22.35" customHeight="1" s="21">
      <c r="A61" s="65" t="inlineStr">
        <is>
          <t>AUD-C5-07</t>
        </is>
      </c>
      <c r="B61" s="67" t="inlineStr">
        <is>
          <t>C5-userclient-surface.md</t>
        </is>
      </c>
      <c r="C61" s="67" t="inlineStr">
        <is>
          <t>269</t>
        </is>
      </c>
      <c r="D61" s="67" t="inlineStr">
        <is>
          <t>"timestamped at offset +0x000"</t>
        </is>
      </c>
      <c r="E61" s="66" t="inlineStr">
        <is>
          <t>4</t>
        </is>
      </c>
      <c r="F61" s="66" t="inlineStr">
        <is>
          <t>média</t>
        </is>
      </c>
      <c r="G61" s="67" t="inlineStr">
        <is>
          <t>Inconsistent with C3:194; kext side is an engine descriptor ([+0x2a8], Q-UC §3) with unverified layout.</t>
        </is>
      </c>
      <c r="H61" s="66" t="inlineStr">
        <is>
          <t>Resolvido</t>
        </is>
      </c>
      <c r="I61" s="70" t="inlineStr">
        <is>
          <t>Resolvido — via audit + bloco no doc</t>
        </is>
      </c>
      <c r="J61" s="70" t="inlineStr">
        <is>
          <t>Leitura do audit (asm/captura) propagada como bloco Correction; não re-derivada aqui (ver PROVENANCE-AUDIT.md).</t>
        </is>
      </c>
      <c r="K61" s="70" t="inlineStr">
        <is>
          <t>C5</t>
        </is>
      </c>
    </row>
    <row r="62" ht="15" customHeight="1" s="21">
      <c r="A62" s="65" t="inlineStr">
        <is>
          <t>AUD-C5-08</t>
        </is>
      </c>
      <c r="B62" s="67" t="inlineStr">
        <is>
          <t>C5-userclient-surface.md</t>
        </is>
      </c>
      <c r="C62" s="67" t="inlineStr">
        <is>
          <t>92</t>
        </is>
      </c>
      <c r="D62" s="67" t="inlineStr">
        <is>
          <t>"LPeriodical period … ≈ 33.3 ms"</t>
        </is>
      </c>
      <c r="E62" s="66" t="inlineStr">
        <is>
          <t>—</t>
        </is>
      </c>
      <c r="F62" s="66" t="inlineStr">
        <is>
          <t>—</t>
        </is>
      </c>
      <c r="G62" s="67" t="inlineStr">
        <is>
          <t>Panel-side, cited; OK.</t>
        </is>
      </c>
      <c r="H62" s="66" t="inlineStr">
        <is>
          <t>Resolvido</t>
        </is>
      </c>
      <c r="I62" s="70" t="inlineStr">
        <is>
          <t>Resolvido — via audit + bloco no doc</t>
        </is>
      </c>
      <c r="J62" s="70" t="inlineStr">
        <is>
          <t>Leitura do audit (asm/captura) propagada como bloco Correction; não re-derivada aqui (ver PROVENANCE-AUDIT.md).</t>
        </is>
      </c>
      <c r="K62" s="70" t="inlineStr">
        <is>
          <t>C5</t>
        </is>
      </c>
    </row>
    <row r="63" ht="22.35" customHeight="1" s="21">
      <c r="A63" s="65" t="inlineStr">
        <is>
          <t>AUD-C6-01</t>
        </is>
      </c>
      <c r="B63" s="67" t="inlineStr">
        <is>
          <t>C6-latency-budget.md</t>
        </is>
      </c>
      <c r="C63" s="67" t="inlineStr">
        <is>
          <t>11, 122</t>
        </is>
      </c>
      <c r="D63" s="67" t="inlineStr">
        <is>
          <t>"the shipping v1.11.3 reference publishes 48 … 231 … 32"</t>
        </is>
      </c>
      <c r="E63" s="66" t="inlineStr">
        <is>
          <t>4</t>
        </is>
      </c>
      <c r="F63" s="66" t="inlineStr">
        <is>
          <t>média</t>
        </is>
      </c>
      <c r="G63" s="67" t="inlineStr">
        <is>
          <t>The captures are SL v1.9 (version-skew memory); values verified in 12/40/50-ioreg.</t>
        </is>
      </c>
      <c r="H63" s="66" t="inlineStr">
        <is>
          <t>Resolvido</t>
        </is>
      </c>
      <c r="I63" s="70" t="inlineStr">
        <is>
          <t>Resolvido — via audit + bloco no doc</t>
        </is>
      </c>
      <c r="J63" s="70" t="inlineStr">
        <is>
          <t>Leitura do audit (asm/captura) propagada como bloco Correction; não re-derivada aqui (ver PROVENANCE-AUDIT.md).</t>
        </is>
      </c>
      <c r="K63" s="70" t="inlineStr">
        <is>
          <t>C6</t>
        </is>
      </c>
    </row>
    <row r="64" ht="22.35" customHeight="1" s="21">
      <c r="A64" s="65" t="inlineStr">
        <is>
          <t>AUD-C6-02</t>
        </is>
      </c>
      <c r="B64" s="67" t="inlineStr">
        <is>
          <t>C6-latency-budget.md</t>
        </is>
      </c>
      <c r="C64" s="67" t="inlineStr">
        <is>
          <t>11, 31</t>
        </is>
      </c>
      <c r="D64" s="67" t="inlineStr">
        <is>
          <t>"32-frame input latency … matches the one-frame-of-host-latency semantics of Q9"</t>
        </is>
      </c>
      <c r="E64" s="66" t="inlineStr">
        <is>
          <t>1</t>
        </is>
      </c>
      <c r="F64" s="66" t="inlineStr">
        <is>
          <t>média</t>
        </is>
      </c>
      <c r="G64" s="67" t="inlineStr">
        <is>
          <t>Partly labelled at :31 but stated as fact at :11.</t>
        </is>
      </c>
      <c r="H64" s="66" t="inlineStr">
        <is>
          <t>Rotulado</t>
        </is>
      </c>
      <c r="I64" s="70" t="inlineStr">
        <is>
          <t>Rotulado como não verificado</t>
        </is>
      </c>
      <c r="J64" s="70" t="inlineStr">
        <is>
          <t>Bloco Correction no doc marca a afirmação como hipótese/estimativa e nomeia a verificação (ver coluna G).</t>
        </is>
      </c>
      <c r="K64" s="70" t="inlineStr">
        <is>
          <t>C6</t>
        </is>
      </c>
    </row>
    <row r="65" ht="22.35" customHeight="1" s="21">
      <c r="A65" s="65" t="inlineStr">
        <is>
          <t>AUD-C6-03</t>
        </is>
      </c>
      <c r="B65" s="67" t="inlineStr">
        <is>
          <t>C6-latency-budget.md</t>
        </is>
      </c>
      <c r="C65" s="67" t="inlineStr">
        <is>
          <t>42, 45, 52, 57</t>
        </is>
      </c>
      <c r="D65" s="67" t="inlineStr">
        <is>
          <t>"~85 us … measured on comparable kexts", "~20 us", "~5-15 us", "≈616 us"</t>
        </is>
      </c>
      <c r="E65" s="66" t="inlineStr">
        <is>
          <t>5</t>
        </is>
      </c>
      <c r="F65" s="66" t="inlineStr">
        <is>
          <t>média</t>
        </is>
      </c>
      <c r="G65" s="67" t="inlineStr">
        <is>
          <t>No capture; label as estimates.</t>
        </is>
      </c>
      <c r="H65" s="66" t="inlineStr">
        <is>
          <t>Rotulado</t>
        </is>
      </c>
      <c r="I65" s="70" t="inlineStr">
        <is>
          <t>Rotulado como não verificado</t>
        </is>
      </c>
      <c r="J65" s="70" t="inlineStr">
        <is>
          <t>Bloco Correction no doc marca a afirmação como hipótese/estimativa e nomeia a verificação (ver coluna G).</t>
        </is>
      </c>
      <c r="K65" s="70" t="inlineStr">
        <is>
          <t>C6</t>
        </is>
      </c>
    </row>
    <row r="66" ht="15" customHeight="1" s="21">
      <c r="A66" s="65" t="inlineStr">
        <is>
          <t>AUD-C6-04</t>
        </is>
      </c>
      <c r="B66" s="67" t="inlineStr">
        <is>
          <t>C6-latency-budget.md</t>
        </is>
      </c>
      <c r="C66" s="67" t="inlineStr">
        <is>
          <t>57</t>
        </is>
      </c>
      <c r="D66" s="67" t="inlineStr">
        <is>
          <t>"This matches Q10's 225-frame round-trip"</t>
        </is>
      </c>
      <c r="E66" s="66" t="inlineStr">
        <is>
          <t>1</t>
        </is>
      </c>
      <c r="F66" s="66" t="inlineStr">
        <is>
          <t>baixa</t>
        </is>
      </c>
      <c r="G66" s="67" t="inlineStr">
        <is>
          <t>Arithmetic coincidence, not shown.</t>
        </is>
      </c>
      <c r="H66" s="66" t="inlineStr">
        <is>
          <t>Rotulado</t>
        </is>
      </c>
      <c r="I66" s="70" t="inlineStr">
        <is>
          <t>Rotulado como não verificado</t>
        </is>
      </c>
      <c r="J66" s="70" t="inlineStr">
        <is>
          <t>Bloco Correction no doc marca a afirmação como hipótese/estimativa e nomeia a verificação (ver coluna G).</t>
        </is>
      </c>
      <c r="K66" s="70" t="inlineStr">
        <is>
          <t>C6</t>
        </is>
      </c>
    </row>
    <row r="67" ht="15" customHeight="1" s="21">
      <c r="A67" s="65" t="inlineStr">
        <is>
          <t>AUD-C6-05</t>
        </is>
      </c>
      <c r="B67" s="67" t="inlineStr">
        <is>
          <t>C6-latency-budget.md</t>
        </is>
      </c>
      <c r="C67" s="67" t="inlineStr">
        <is>
          <t>75, 166</t>
        </is>
      </c>
      <c r="D67" s="67" t="inlineStr">
        <is>
          <t>"per-segment slot count scales … 8/8/8/16/16/32/32 channel-count"</t>
        </is>
      </c>
      <c r="E67" s="66" t="inlineStr">
        <is>
          <t>4</t>
        </is>
      </c>
      <c r="F67" s="66" t="inlineStr">
        <is>
          <t>média</t>
        </is>
      </c>
      <c r="G67" s="67" t="inlineStr">
        <is>
          <t>That value is the SYT interval; channel tables differ.</t>
        </is>
      </c>
      <c r="H67" s="66" t="inlineStr">
        <is>
          <t>Resolvido</t>
        </is>
      </c>
      <c r="I67" s="70" t="inlineStr">
        <is>
          <t>Resolvido — via audit + bloco no doc</t>
        </is>
      </c>
      <c r="J67" s="70" t="inlineStr">
        <is>
          <t>Leitura do audit (asm/captura) propagada como bloco Correction; não re-derivada aqui (ver PROVENANCE-AUDIT.md).</t>
        </is>
      </c>
      <c r="K67" s="70" t="inlineStr">
        <is>
          <t>C6</t>
        </is>
      </c>
    </row>
    <row r="68" ht="22.35" customHeight="1" s="21">
      <c r="A68" s="65" t="inlineStr">
        <is>
          <t>AUD-C6-06</t>
        </is>
      </c>
      <c r="B68" s="67" t="inlineStr">
        <is>
          <t>C6-latency-budget.md</t>
        </is>
      </c>
      <c r="C68" s="67" t="inlineStr">
        <is>
          <t>81</t>
        </is>
      </c>
      <c r="D68" s="67" t="inlineStr">
        <is>
          <t>"the workaround is always on for a FW1814"</t>
        </is>
      </c>
      <c r="E68" s="66" t="inlineStr">
        <is>
          <t>4</t>
        </is>
      </c>
      <c r="F68" s="66" t="inlineStr">
        <is>
          <t>média</t>
        </is>
      </c>
      <c r="G68" s="67" t="inlineStr">
        <is>
          <t>At 176.4/192 kHz the input is 2 ch (s176_192 table), so `[+0x2e4]==2` skips it (Q9:26).</t>
        </is>
      </c>
      <c r="H68" s="66" t="inlineStr">
        <is>
          <t>Resolvido</t>
        </is>
      </c>
      <c r="I68" s="70" t="inlineStr">
        <is>
          <t>Resolvido — via audit + bloco no doc</t>
        </is>
      </c>
      <c r="J68" s="70" t="inlineStr">
        <is>
          <t>Leitura do audit (asm/captura) propagada como bloco Correction; não re-derivada aqui (ver PROVENANCE-AUDIT.md).</t>
        </is>
      </c>
      <c r="K68" s="70" t="inlineStr">
        <is>
          <t>C6</t>
        </is>
      </c>
    </row>
    <row r="69" ht="22.35" customHeight="1" s="21">
      <c r="A69" s="65" t="inlineStr">
        <is>
          <t>AUD-C6-07</t>
        </is>
      </c>
      <c r="B69" s="67" t="inlineStr">
        <is>
          <t>C6-latency-budget.md</t>
        </is>
      </c>
      <c r="C69" s="67" t="inlineStr">
        <is>
          <t>104-110</t>
        </is>
      </c>
      <c r="D69" s="67" t="inlineStr">
        <is>
          <t>"BeginFormatChange / StopStreams … ≥2 isoch cycles"; "EndFormatChange / StartStreams"</t>
        </is>
      </c>
      <c r="E69" s="66" t="inlineStr">
        <is>
          <t>4</t>
        </is>
      </c>
      <c r="F69" s="66" t="inlineStr">
        <is>
          <t>alta</t>
        </is>
      </c>
      <c r="G69" s="67" t="inlineStr">
        <is>
          <t>Slot misnames (top-15 #4).</t>
        </is>
      </c>
      <c r="H69" s="66" t="inlineStr">
        <is>
          <t>Resolvido</t>
        </is>
      </c>
      <c r="I69" s="70" t="inlineStr">
        <is>
          <t>Resolvido — via audit + bloco no doc</t>
        </is>
      </c>
      <c r="J69" s="70" t="inlineStr">
        <is>
          <t>Leitura do audit (asm/captura) propagada como bloco Correction; não re-derivada aqui (ver PROVENANCE-AUDIT.md).</t>
        </is>
      </c>
      <c r="K69" s="70" t="inlineStr">
        <is>
          <t>C6</t>
        </is>
      </c>
    </row>
    <row r="70" ht="22.35" customHeight="1" s="21">
      <c r="A70" s="65" t="inlineStr">
        <is>
          <t>AUD-C6-08</t>
        </is>
      </c>
      <c r="B70" s="67" t="inlineStr">
        <is>
          <t>C6-latency-budget.md</t>
        </is>
      </c>
      <c r="C70" s="67" t="inlineStr">
        <is>
          <t>105</t>
        </is>
      </c>
      <c r="D70" s="67" t="inlineStr">
        <is>
          <t>"~5-10 ms FCP … (B5 §5 FCP captures: typical response within one 125-us cycle)"</t>
        </is>
      </c>
      <c r="E70" s="66" t="inlineStr">
        <is>
          <t>5</t>
        </is>
      </c>
      <c r="F70" s="66" t="inlineStr">
        <is>
          <t>média</t>
        </is>
      </c>
      <c r="G70" s="67" t="inlineStr">
        <is>
          <t>Self-contradictory; no B5 FCP timing capture.</t>
        </is>
      </c>
      <c r="H70" s="66" t="inlineStr">
        <is>
          <t>Rotulado</t>
        </is>
      </c>
      <c r="I70" s="70" t="inlineStr">
        <is>
          <t>Rotulado como não verificado</t>
        </is>
      </c>
      <c r="J70" s="70" t="inlineStr">
        <is>
          <t>Bloco Correction no doc marca a afirmação como hipótese/estimativa e nomeia a verificação (ver coluna G).</t>
        </is>
      </c>
      <c r="K70" s="70" t="inlineStr">
        <is>
          <t>C6</t>
        </is>
      </c>
    </row>
    <row r="71" ht="15" customHeight="1" s="21">
      <c r="A71" s="65" t="inlineStr">
        <is>
          <t>AUD-C6-09</t>
        </is>
      </c>
      <c r="B71" s="67" t="inlineStr">
        <is>
          <t>C6-latency-budget.md</t>
        </is>
      </c>
      <c r="C71" s="67" t="inlineStr">
        <is>
          <t>106</t>
        </is>
      </c>
      <c r="D71" s="67" t="inlineStr">
        <is>
          <t>"Stream-kick wait 100 ms — A1-Q16 §SyncStream"</t>
        </is>
      </c>
      <c r="E71" s="66" t="inlineStr">
        <is>
          <t>4</t>
        </is>
      </c>
      <c r="F71" s="66" t="inlineStr">
        <is>
          <t>alta</t>
        </is>
      </c>
      <c r="G71" s="67" t="inlineStr">
        <is>
          <t>Q16 has no 100 ms; SyncStream is Rev2-only.</t>
        </is>
      </c>
      <c r="H71" s="66" t="inlineStr">
        <is>
          <t>Resolvido</t>
        </is>
      </c>
      <c r="I71" s="70" t="inlineStr">
        <is>
          <t>Resolvido — via audit + bloco no doc</t>
        </is>
      </c>
      <c r="J71" s="70" t="inlineStr">
        <is>
          <t>Leitura do audit (asm/captura) propagada como bloco Correction; não re-derivada aqui (ver PROVENANCE-AUDIT.md).</t>
        </is>
      </c>
      <c r="K71" s="70" t="inlineStr">
        <is>
          <t>C6</t>
        </is>
      </c>
    </row>
    <row r="72" ht="15" customHeight="1" s="21">
      <c r="A72" s="65" t="inlineStr">
        <is>
          <t>AUD-C6-10</t>
        </is>
      </c>
      <c r="B72" s="67" t="inlineStr">
        <is>
          <t>C6-latency-budget.md</t>
        </is>
      </c>
      <c r="C72" s="67" t="inlineStr">
        <is>
          <t>107</t>
        </is>
      </c>
      <c r="D72" s="67" t="inlineStr">
        <is>
          <t>"HSCI envelope emit via vt[+0xaf8] … FWHSCI::SetClockSource"</t>
        </is>
      </c>
      <c r="E72" s="66" t="inlineStr">
        <is>
          <t>4</t>
        </is>
      </c>
      <c r="F72" s="66" t="inlineStr">
        <is>
          <t>alta</t>
        </is>
      </c>
      <c r="G72" s="67" t="inlineStr">
        <is>
          <t>No such symbol; af8 = ResetRearrangementProcs.</t>
        </is>
      </c>
      <c r="H72" s="66" t="inlineStr">
        <is>
          <t>Resolvido</t>
        </is>
      </c>
      <c r="I72" s="70" t="inlineStr">
        <is>
          <t>Resolvido — via audit + bloco no doc</t>
        </is>
      </c>
      <c r="J72" s="70" t="inlineStr">
        <is>
          <t>Leitura do audit (asm/captura) propagada como bloco Correction; não re-derivada aqui (ver PROVENANCE-AUDIT.md).</t>
        </is>
      </c>
      <c r="K72" s="70" t="inlineStr">
        <is>
          <t>C6</t>
        </is>
      </c>
    </row>
    <row r="73" ht="15" customHeight="1" s="21">
      <c r="A73" s="65" t="inlineStr">
        <is>
          <t>AUD-C6-11</t>
        </is>
      </c>
      <c r="B73" s="67" t="inlineStr">
        <is>
          <t>C6-latency-budget.md</t>
        </is>
      </c>
      <c r="C73" s="67" t="inlineStr">
        <is>
          <t>118</t>
        </is>
      </c>
      <c r="D73" s="67" t="inlineStr">
        <is>
          <t>"N=4 observed TX+RX+idle-lock+?"</t>
        </is>
      </c>
      <c r="E73" s="66" t="inlineStr">
        <is>
          <t>5</t>
        </is>
      </c>
      <c r="F73" s="66" t="inlineStr">
        <is>
          <t>baixa</t>
        </is>
      </c>
      <c r="G73" s="67" t="inlineStr">
        <is>
          <t>No source.</t>
        </is>
      </c>
      <c r="H73" s="66" t="inlineStr">
        <is>
          <t>Rotulado</t>
        </is>
      </c>
      <c r="I73" s="70" t="inlineStr">
        <is>
          <t>Rotulado como não verificado</t>
        </is>
      </c>
      <c r="J73" s="70" t="inlineStr">
        <is>
          <t>Bloco Correction no doc marca a afirmação como hipótese/estimativa e nomeia a verificação (ver coluna G).</t>
        </is>
      </c>
      <c r="K73" s="70" t="inlineStr">
        <is>
          <t>C6</t>
        </is>
      </c>
    </row>
    <row r="74" ht="15" customHeight="1" s="21">
      <c r="A74" s="65" t="inlineStr">
        <is>
          <t>AUD-C6-12</t>
        </is>
      </c>
      <c r="B74" s="67" t="inlineStr">
        <is>
          <t>C6-latency-budget.md</t>
        </is>
      </c>
      <c r="C74" s="67" t="inlineStr">
        <is>
          <t>213</t>
        </is>
      </c>
      <c r="D74" s="67" t="inlineStr">
        <is>
          <t>IOAudioFamily vtable-drift risk paragraph</t>
        </is>
      </c>
      <c r="E74" s="66" t="inlineStr">
        <is>
          <t>4</t>
        </is>
      </c>
      <c r="F74" s="66" t="inlineStr">
        <is>
          <t>média</t>
        </is>
      </c>
      <c r="G74" s="67" t="inlineStr">
        <is>
          <t>Superseded by Q-SDK; no correction block in C6.</t>
        </is>
      </c>
      <c r="H74" s="66" t="inlineStr">
        <is>
          <t>Resolvido</t>
        </is>
      </c>
      <c r="I74" s="70" t="inlineStr">
        <is>
          <t>Resolvido — via audit + bloco no doc</t>
        </is>
      </c>
      <c r="J74" s="70" t="inlineStr">
        <is>
          <t>Leitura do audit (asm/captura) propagada como bloco Correction; não re-derivada aqui (ver PROVENANCE-AUDIT.md).</t>
        </is>
      </c>
      <c r="K74" s="70" t="inlineStr">
        <is>
          <t>C6</t>
        </is>
      </c>
    </row>
    <row r="75" ht="15" customHeight="1" s="21">
      <c r="A75" s="65" t="inlineStr">
        <is>
          <t>AUD-D-01</t>
        </is>
      </c>
      <c r="B75" s="67" t="inlineStr">
        <is>
          <t>D-decision.md</t>
        </is>
      </c>
      <c r="C75" s="67" t="inlineStr">
        <is>
          <t>75, 212</t>
        </is>
      </c>
      <c r="D75" s="67" t="inlineStr">
        <is>
          <t>"Q15e — exact byte layout at vt[+0xce0] AV/C commit"</t>
        </is>
      </c>
      <c r="E75" s="66" t="inlineStr">
        <is>
          <t>4</t>
        </is>
      </c>
      <c r="F75" s="66" t="inlineStr">
        <is>
          <t>média</t>
        </is>
      </c>
      <c r="G75" s="67" t="inlineStr">
        <is>
          <t>ce0 is not AV/C.</t>
        </is>
      </c>
      <c r="H75" s="66" t="inlineStr">
        <is>
          <t>Resolvido</t>
        </is>
      </c>
      <c r="I75" s="70" t="inlineStr">
        <is>
          <t>Resolvido — via audit + bloco no doc</t>
        </is>
      </c>
      <c r="J75" s="70" t="inlineStr">
        <is>
          <t>Leitura do audit (asm/captura) propagada como bloco Correction; não re-derivada aqui (ver PROVENANCE-AUDIT.md).</t>
        </is>
      </c>
      <c r="K75" s="70" t="inlineStr">
        <is>
          <t>D</t>
        </is>
      </c>
    </row>
    <row r="76" ht="15" customHeight="1" s="21">
      <c r="A76" s="65" t="inlineStr">
        <is>
          <t>AUD-D-02</t>
        </is>
      </c>
      <c r="B76" s="67" t="inlineStr">
        <is>
          <t>D-decision.md</t>
        </is>
      </c>
      <c r="C76" s="67" t="inlineStr">
        <is>
          <t>79, 117, 216</t>
        </is>
      </c>
      <c r="D76" s="67" t="inlineStr">
        <is>
          <t>"FWKIPCUserClient live or dead … ship it only if live"</t>
        </is>
      </c>
      <c r="E76" s="66" t="inlineStr">
        <is>
          <t>4</t>
        </is>
      </c>
      <c r="F76" s="66" t="inlineStr">
        <is>
          <t>média</t>
        </is>
      </c>
      <c r="G76" s="67" t="inlineStr">
        <is>
          <t>Resolved: live base class.</t>
        </is>
      </c>
      <c r="H76" s="66" t="inlineStr">
        <is>
          <t>Resolvido</t>
        </is>
      </c>
      <c r="I76" s="70" t="inlineStr">
        <is>
          <t>Resolvido — via audit + bloco no doc</t>
        </is>
      </c>
      <c r="J76" s="70" t="inlineStr">
        <is>
          <t>Leitura do audit (asm/captura) propagada como bloco Correction; não re-derivada aqui (ver PROVENANCE-AUDIT.md).</t>
        </is>
      </c>
      <c r="K76" s="70" t="inlineStr">
        <is>
          <t>D</t>
        </is>
      </c>
    </row>
    <row r="77" ht="15" customHeight="1" s="21">
      <c r="A77" s="65" t="inlineStr">
        <is>
          <t>AUD-D-03</t>
        </is>
      </c>
      <c r="B77" s="67" t="inlineStr">
        <is>
          <t>D-decision.md</t>
        </is>
      </c>
      <c r="C77" s="67" t="inlineStr">
        <is>
          <t>112, 146, 176</t>
        </is>
      </c>
      <c r="D77" s="67" t="inlineStr">
        <is>
          <t>"Stream-kick post-CMP: OUTPUT 0x18 → wait 100 ms → INPUT 0x19"</t>
        </is>
      </c>
      <c r="E77" s="66" t="inlineStr">
        <is>
          <t>4</t>
        </is>
      </c>
      <c r="F77" s="66" t="inlineStr">
        <is>
          <t>alta</t>
        </is>
      </c>
      <c r="G77" s="67" t="inlineStr">
        <is>
          <t>Q3a §3 Correction.</t>
        </is>
      </c>
      <c r="H77" s="66" t="inlineStr">
        <is>
          <t>Resolvido</t>
        </is>
      </c>
      <c r="I77" s="70" t="inlineStr">
        <is>
          <t>Resolvido — verificado no asm</t>
        </is>
      </c>
      <c r="J77" s="70" t="inlineStr">
        <is>
          <t>PROVENANCE-RESOLUTIONS.md §R1 (ConnectAudioMIDIChannels 0x121c9..0x122bb); bloco Correction inserido no doc.</t>
        </is>
      </c>
      <c r="K77" s="70" t="inlineStr">
        <is>
          <t>D</t>
        </is>
      </c>
    </row>
    <row r="78" ht="15" customHeight="1" s="21">
      <c r="A78" s="65" t="inlineStr">
        <is>
          <t>AUD-D-04</t>
        </is>
      </c>
      <c r="B78" s="67" t="inlineStr">
        <is>
          <t>D-decision.md</t>
        </is>
      </c>
      <c r="C78" s="67" t="inlineStr">
        <is>
          <t>114</t>
        </is>
      </c>
      <c r="D78" s="67" t="inlineStr">
        <is>
          <t>"HSCI envelope: 12-byte CONTROL"</t>
        </is>
      </c>
      <c r="E78" s="66" t="inlineStr">
        <is>
          <t>4</t>
        </is>
      </c>
      <c r="F78" s="66" t="inlineStr">
        <is>
          <t>alta</t>
        </is>
      </c>
      <c r="G78" s="67" t="inlineStr">
        <is>
          <t>16 bytes.</t>
        </is>
      </c>
      <c r="H78" s="66" t="inlineStr">
        <is>
          <t>Resolvido</t>
        </is>
      </c>
      <c r="I78" s="70" t="inlineStr">
        <is>
          <t>Resolvido — verificado no asm</t>
        </is>
      </c>
      <c r="J78" s="70" t="inlineStr">
        <is>
          <t>PROVENANCE-RESOLUTIONS.md §R3 (bzero 0x10 @0xe284, len 0x10 @0xe441); bloco Correction inserido no doc.</t>
        </is>
      </c>
      <c r="K78" s="70" t="inlineStr">
        <is>
          <t>D</t>
        </is>
      </c>
    </row>
    <row r="79" ht="15" customHeight="1" s="21">
      <c r="A79" s="65" t="inlineStr">
        <is>
          <t>AUD-D-05</t>
        </is>
      </c>
      <c r="B79" s="67" t="inlineStr">
        <is>
          <t>D-decision.md</t>
        </is>
      </c>
      <c r="C79" s="67" t="inlineStr">
        <is>
          <t>116</t>
        </is>
      </c>
      <c r="D79" s="67" t="inlineStr">
        <is>
          <t>"506 ProToolsOpen no-op, 507 ProToolsErrorReport no-op"</t>
        </is>
      </c>
      <c r="E79" s="66" t="inlineStr">
        <is>
          <t>4</t>
        </is>
      </c>
      <c r="F79" s="66" t="inlineStr">
        <is>
          <t>alta</t>
        </is>
      </c>
      <c r="G79" s="67" t="inlineStr">
        <is>
          <t>Q-UC §2.</t>
        </is>
      </c>
      <c r="H79" s="66" t="inlineStr">
        <is>
          <t>Resolvido</t>
        </is>
      </c>
      <c r="I79" s="70" t="inlineStr">
        <is>
          <t>Resolvido — verificado no asm</t>
        </is>
      </c>
      <c r="J79" s="70" t="inlineStr">
        <is>
          <t>PROVENANCE-RESOLUTIONS.md §R6 (FWUserClient vt 0x33c50, GetPeakLevelCount, HSCI thread); bloco Correction inserido no doc.</t>
        </is>
      </c>
      <c r="K79" s="70" t="inlineStr">
        <is>
          <t>D</t>
        </is>
      </c>
    </row>
    <row r="80" ht="15" customHeight="1" s="21">
      <c r="A80" s="65" t="inlineStr">
        <is>
          <t>AUD-D-06</t>
        </is>
      </c>
      <c r="B80" s="67" t="inlineStr">
        <is>
          <t>D-decision.md</t>
        </is>
      </c>
      <c r="C80" s="67" t="inlineStr">
        <is>
          <t>157</t>
        </is>
      </c>
      <c r="D80" s="67" t="inlineStr">
        <is>
          <t>"Shared-ring meter … struct layout labelled hypothesis"</t>
        </is>
      </c>
      <c r="E80" s="66" t="inlineStr">
        <is>
          <t>4</t>
        </is>
      </c>
      <c r="F80" s="66" t="inlineStr">
        <is>
          <t>baixa</t>
        </is>
      </c>
      <c r="G80" s="67" t="inlineStr">
        <is>
          <t>Now decoded (Q-UC §3).</t>
        </is>
      </c>
      <c r="H80" s="66" t="inlineStr">
        <is>
          <t>Resolvido</t>
        </is>
      </c>
      <c r="I80" s="70" t="inlineStr">
        <is>
          <t>Resolvido — via audit + bloco no doc</t>
        </is>
      </c>
      <c r="J80" s="70" t="inlineStr">
        <is>
          <t>Leitura do audit (asm/captura) propagada como bloco Correction; não re-derivada aqui (ver PROVENANCE-AUDIT.md).</t>
        </is>
      </c>
      <c r="K80" s="70" t="inlineStr">
        <is>
          <t>D</t>
        </is>
      </c>
    </row>
    <row r="81" ht="15" customHeight="1" s="21">
      <c r="A81" s="65" t="inlineStr">
        <is>
          <t>AUD-D-07</t>
        </is>
      </c>
      <c r="B81" s="67" t="inlineStr">
        <is>
          <t>D-decision.md</t>
        </is>
      </c>
      <c r="C81" s="67" t="inlineStr">
        <is>
          <t>175</t>
        </is>
      </c>
      <c r="D81" s="67" t="inlineStr">
        <is>
          <t>"timestamp node fires IOAudioEngine::takeTimeStamp"</t>
        </is>
      </c>
      <c r="E81" s="66" t="inlineStr">
        <is>
          <t>1</t>
        </is>
      </c>
      <c r="F81" s="66" t="inlineStr">
        <is>
          <t>média</t>
        </is>
      </c>
      <c r="G81" s="67" t="inlineStr">
        <is>
          <t>C2 §8.3 lists the takeTimeStamp site as open.</t>
        </is>
      </c>
      <c r="H81" s="66" t="inlineStr">
        <is>
          <t>Resolvido</t>
        </is>
      </c>
      <c r="I81" s="70" t="inlineStr">
        <is>
          <t>Resolvido — verificado no asm</t>
        </is>
      </c>
      <c r="J81" s="70" t="inlineStr">
        <is>
          <t>PROVENANCE-RESOLUTIONS.md §R7 + A1-ghidra/Q-OHCI-interrupt.md (AppleFWOHCI 5.5.9: translateLegacyProgram 0x8d5e, SendDCL::compile 0xd53f, ReceiveDCL::compile 0xcce7); bloco Correction inserido no doc.</t>
        </is>
      </c>
      <c r="K81" s="70" t="inlineStr">
        <is>
          <t>D</t>
        </is>
      </c>
    </row>
    <row r="82" ht="15" customHeight="1" s="21">
      <c r="A82" s="65" t="inlineStr">
        <is>
          <t>AUD-D-08</t>
        </is>
      </c>
      <c r="B82" s="67" t="inlineStr">
        <is>
          <t>D-decision.md</t>
        </is>
      </c>
      <c r="C82" s="67" t="inlineStr">
        <is>
          <t>30</t>
        </is>
      </c>
      <c r="D82" s="67" t="inlineStr">
        <is>
          <t>"v1.11.3 has SHA-1…" while the doc's target is v1.11.2</t>
        </is>
      </c>
      <c r="E82" s="66" t="inlineStr">
        <is>
          <t>4</t>
        </is>
      </c>
      <c r="F82" s="66" t="inlineStr">
        <is>
          <t>baixa</t>
        </is>
      </c>
      <c r="G82" s="67" t="inlineStr">
        <is>
          <t>Name the bundle and version per the version-skew rule.</t>
        </is>
      </c>
      <c r="H82" s="66" t="inlineStr">
        <is>
          <t>Resolvido</t>
        </is>
      </c>
      <c r="I82" s="70" t="inlineStr">
        <is>
          <t>Resolvido — via audit + bloco no doc</t>
        </is>
      </c>
      <c r="J82" s="70" t="inlineStr">
        <is>
          <t>Leitura do audit (asm/captura) propagada como bloco Correction; não re-derivada aqui (ver PROVENANCE-AUDIT.md).</t>
        </is>
      </c>
      <c r="K82" s="70" t="inlineStr">
        <is>
          <t>D</t>
        </is>
      </c>
    </row>
    <row r="83" ht="43.25" customHeight="1" s="21">
      <c r="A83" s="65" t="inlineStr">
        <is>
          <t>AUD-Q15c-01</t>
        </is>
      </c>
      <c r="B83" s="67" t="inlineStr">
        <is>
          <t>A1-ghidra/Q15c-changerate-performformat.md (no correction blocks; root source of many C-doc errors)</t>
        </is>
      </c>
      <c r="C83" s="67" t="inlineStr">
        <is>
          <t>26, 35, 147-148</t>
        </is>
      </c>
      <c r="D83" s="67" t="inlineStr">
        <is>
          <t>"vt[0xa50] Acquire/Lock", "vt[0xa58] Release/Unlock"</t>
        </is>
      </c>
      <c r="E83" s="66" t="inlineStr">
        <is>
          <t>4</t>
        </is>
      </c>
      <c r="F83" s="66" t="inlineStr">
        <is>
          <t>média</t>
        </is>
      </c>
      <c r="G83" s="67" t="inlineStr">
        <is>
          <t>FWBaseEngine::pauseAudioEngine @0x3d54 / resumeAudioEngine @0x3dae.</t>
        </is>
      </c>
      <c r="H83" s="66" t="inlineStr">
        <is>
          <t>Resolvido</t>
        </is>
      </c>
      <c r="I83" s="70" t="inlineStr">
        <is>
          <t>Resolvido — verificado no asm</t>
        </is>
      </c>
      <c r="J83" s="70" t="inlineStr">
        <is>
          <t>PROVENANCE-RESOLUTIONS.md §R2 (vtables 0x391c0/0x369b0 + otool -rv); bloco Correction inserido no doc.</t>
        </is>
      </c>
      <c r="K83" s="70" t="inlineStr">
        <is>
          <t>A1</t>
        </is>
      </c>
    </row>
    <row r="84" ht="43.25" customHeight="1" s="21">
      <c r="A84" s="65" t="inlineStr">
        <is>
          <t>AUD-Q15c-02</t>
        </is>
      </c>
      <c r="B84" s="67" t="inlineStr">
        <is>
          <t>A1-ghidra/Q15c-changerate-performformat.md (no correction blocks; root source of many C-doc errors)</t>
        </is>
      </c>
      <c r="C84" s="67" t="inlineStr">
        <is>
          <t>33, 55, 118, 155, 165</t>
        </is>
      </c>
      <c r="D84" s="67" t="inlineStr">
        <is>
          <t>"vt[0xce0] … AV/C PLUG SIGNAL FORMAT write"</t>
        </is>
      </c>
      <c r="E84" s="66" t="inlineStr">
        <is>
          <t>4</t>
        </is>
      </c>
      <c r="F84" s="66" t="inlineStr">
        <is>
          <t>alta</t>
        </is>
      </c>
      <c r="G84" s="67" t="inlineStr">
        <is>
          <t>FWEngine2::PerformSampleRateChangeCore.</t>
        </is>
      </c>
      <c r="H84" s="66" t="inlineStr">
        <is>
          <t>Resolvido</t>
        </is>
      </c>
      <c r="I84" s="70" t="inlineStr">
        <is>
          <t>Resolvido — verificado no asm</t>
        </is>
      </c>
      <c r="J84" s="70" t="inlineStr">
        <is>
          <t>PROVENANCE-RESOLUTIONS.md §R2 (vtables 0x391c0/0x369b0 + otool -rv); bloco Correction inserido no doc.</t>
        </is>
      </c>
      <c r="K84" s="70" t="inlineStr">
        <is>
          <t>A1</t>
        </is>
      </c>
    </row>
    <row r="85" ht="43.25" customHeight="1" s="21">
      <c r="A85" s="65" t="inlineStr">
        <is>
          <t>AUD-Q15c-03</t>
        </is>
      </c>
      <c r="B85" s="67" t="inlineStr">
        <is>
          <t>A1-ghidra/Q15c-changerate-performformat.md (no correction blocks; root source of many C-doc errors)</t>
        </is>
      </c>
      <c r="C85" s="67" t="inlineStr">
        <is>
          <t>46 vs 162</t>
        </is>
      </c>
      <c r="D85" s="67" t="inlineStr">
        <is>
          <t>"fIsAC3 = this-&gt;field_0xa5" vs "[+0x2d4] = AC3-mode bool"</t>
        </is>
      </c>
      <c r="E85" s="66" t="inlineStr">
        <is>
          <t>4</t>
        </is>
      </c>
      <c r="F85" s="66" t="inlineStr">
        <is>
          <t>média</t>
        </is>
      </c>
      <c r="G85" s="67" t="inlineStr">
        <is>
          <t>Contradictory.</t>
        </is>
      </c>
      <c r="H85" s="66" t="inlineStr">
        <is>
          <t>Resolvido</t>
        </is>
      </c>
      <c r="I85" s="70" t="inlineStr">
        <is>
          <t>Resolvido — verificado no asm</t>
        </is>
      </c>
      <c r="J85" s="70" t="inlineStr">
        <is>
          <t>PROVENANCE-RESOLUTIONS.md §R5 (FirmwareHalt, CIP, opcodes, FDF); bloco Correction inserido no doc.</t>
        </is>
      </c>
      <c r="K85" s="70" t="inlineStr">
        <is>
          <t>A1</t>
        </is>
      </c>
    </row>
    <row r="86" ht="43.25" customHeight="1" s="21">
      <c r="A86" s="65" t="inlineStr">
        <is>
          <t>AUD-Q15c-04</t>
        </is>
      </c>
      <c r="B86" s="67" t="inlineStr">
        <is>
          <t>A1-ghidra/Q15c-changerate-performformat.md (no correction blocks; root source of many C-doc errors)</t>
        </is>
      </c>
      <c r="C86" s="67" t="inlineStr">
        <is>
          <t>47, 59, 152-153</t>
        </is>
      </c>
      <c r="D86" s="67" t="inlineStr">
        <is>
          <t>b00 "BeginFormatChange / StopStreams", b10 "EndFormatChange / StartStreams"</t>
        </is>
      </c>
      <c r="E86" s="66" t="inlineStr">
        <is>
          <t>4</t>
        </is>
      </c>
      <c r="F86" s="66" t="inlineStr">
        <is>
          <t>alta</t>
        </is>
      </c>
      <c r="G86" s="67" t="inlineStr">
        <is>
          <t>IOAudioEngine begin/cancelConfigurationChange.</t>
        </is>
      </c>
      <c r="H86" s="66" t="inlineStr">
        <is>
          <t>Resolvido</t>
        </is>
      </c>
      <c r="I86" s="70" t="inlineStr">
        <is>
          <t>Resolvido — verificado no asm</t>
        </is>
      </c>
      <c r="J86" s="70" t="inlineStr">
        <is>
          <t>PROVENANCE-RESOLUTIONS.md §R2 (vtables 0x391c0/0x369b0 + otool -rv); bloco Correction inserido no doc.</t>
        </is>
      </c>
      <c r="K86" s="70" t="inlineStr">
        <is>
          <t>A1</t>
        </is>
      </c>
    </row>
    <row r="87" ht="43.25" customHeight="1" s="21">
      <c r="A87" s="65" t="inlineStr">
        <is>
          <t>AUD-Q15c-05</t>
        </is>
      </c>
      <c r="B87" s="67" t="inlineStr">
        <is>
          <t>A1-ghidra/Q15c-changerate-performformat.md (no correction blocks; root source of many C-doc errors)</t>
        </is>
      </c>
      <c r="C87" s="67" t="inlineStr">
        <is>
          <t>52, 151, 166</t>
        </is>
      </c>
      <c r="D87" s="67" t="inlineStr">
        <is>
          <t>"vt[0xaf8] … HSCI envelope emit"</t>
        </is>
      </c>
      <c r="E87" s="66" t="inlineStr">
        <is>
          <t>4</t>
        </is>
      </c>
      <c r="F87" s="66" t="inlineStr">
        <is>
          <t>alta</t>
        </is>
      </c>
      <c r="G87" s="67" t="inlineStr">
        <is>
          <t>ResetRearrangementProcs.</t>
        </is>
      </c>
      <c r="H87" s="66" t="inlineStr">
        <is>
          <t>Resolvido</t>
        </is>
      </c>
      <c r="I87" s="70" t="inlineStr">
        <is>
          <t>Resolvido — verificado no asm</t>
        </is>
      </c>
      <c r="J87" s="70" t="inlineStr">
        <is>
          <t>PROVENANCE-RESOLUTIONS.md §R2 (vtables 0x391c0/0x369b0 + otool -rv); bloco Correction inserido no doc.</t>
        </is>
      </c>
      <c r="K87" s="70" t="inlineStr">
        <is>
          <t>A1</t>
        </is>
      </c>
    </row>
    <row r="88" ht="43.25" customHeight="1" s="21">
      <c r="A88" s="65" t="inlineStr">
        <is>
          <t>AUD-Q15c-06</t>
        </is>
      </c>
      <c r="B88" s="67" t="inlineStr">
        <is>
          <t>A1-ghidra/Q15c-changerate-performformat.md (no correction blocks; root source of many C-doc errors)</t>
        </is>
      </c>
      <c r="C88" s="67" t="inlineStr">
        <is>
          <t>54, 154</t>
        </is>
      </c>
      <c r="D88" s="67" t="inlineStr">
        <is>
          <t>"vt[0xb58] ApplyRateToIsoch"</t>
        </is>
      </c>
      <c r="E88" s="66" t="inlineStr">
        <is>
          <t>4</t>
        </is>
      </c>
      <c r="F88" s="66" t="inlineStr">
        <is>
          <t>alta</t>
        </is>
      </c>
      <c r="G88" s="67" t="inlineStr">
        <is>
          <t>IOAudioEngine::setSampleRate.</t>
        </is>
      </c>
      <c r="H88" s="66" t="inlineStr">
        <is>
          <t>Resolvido</t>
        </is>
      </c>
      <c r="I88" s="70" t="inlineStr">
        <is>
          <t>Resolvido — verificado no asm</t>
        </is>
      </c>
      <c r="J88" s="70" t="inlineStr">
        <is>
          <t>PROVENANCE-RESOLUTIONS.md §R2 (vtables 0x391c0/0x369b0 + otool -rv); bloco Correction inserido no doc.</t>
        </is>
      </c>
      <c r="K88" s="70" t="inlineStr">
        <is>
          <t>A1</t>
        </is>
      </c>
    </row>
    <row r="89" ht="43.25" customHeight="1" s="21">
      <c r="A89" s="65" t="inlineStr">
        <is>
          <t>AUD-Q15c-07</t>
        </is>
      </c>
      <c r="B89" s="67" t="inlineStr">
        <is>
          <t>A1-ghidra/Q15c-changerate-performformat.md (no correction blocks; root source of many C-doc errors)</t>
        </is>
      </c>
      <c r="C89" s="67" t="inlineStr">
        <is>
          <t>70-76, 135, 138, 162</t>
        </is>
      </c>
      <c r="D89" s="67" t="inlineStr">
        <is>
          <t>"fChannelsPerRate@0x224 = 8/8/8/16/16/32/32 … channel count"</t>
        </is>
      </c>
      <c r="E89" s="66" t="inlineStr">
        <is>
          <t>4</t>
        </is>
      </c>
      <c r="F89" s="66" t="inlineStr">
        <is>
          <t>alta</t>
        </is>
      </c>
      <c r="G89" s="67" t="inlineStr">
        <is>
          <t>The value is verified (0x47f2..0x48ad) but it is the SYT interval, not channels.</t>
        </is>
      </c>
      <c r="H89" s="66" t="inlineStr">
        <is>
          <t>Resolvido</t>
        </is>
      </c>
      <c r="I89" s="70" t="inlineStr">
        <is>
          <t>Resolvido — verificado no asm</t>
        </is>
      </c>
      <c r="J89" s="70" t="inlineStr">
        <is>
          <t>PROVENANCE-RESOLUTIONS.md §R5 (FirmwareHalt, CIP, opcodes, FDF); bloco Correction inserido no doc.</t>
        </is>
      </c>
      <c r="K89" s="70" t="inlineStr">
        <is>
          <t>A1</t>
        </is>
      </c>
    </row>
    <row r="90" ht="43.25" customHeight="1" s="21">
      <c r="A90" s="65" t="inlineStr">
        <is>
          <t>AUD-Q15c-08</t>
        </is>
      </c>
      <c r="B90" s="67" t="inlineStr">
        <is>
          <t>A1-ghidra/Q15c-changerate-performformat.md (no correction blocks; root source of many C-doc errors)</t>
        </is>
      </c>
      <c r="C90" s="67" t="inlineStr">
        <is>
          <t>133</t>
        </is>
      </c>
      <c r="D90" s="67" t="inlineStr">
        <is>
          <t>"FDF 0x7D00 …"</t>
        </is>
      </c>
      <c r="E90" s="66" t="inlineStr">
        <is>
          <t>4</t>
        </is>
      </c>
      <c r="F90" s="66" t="inlineStr">
        <is>
          <t>baixa</t>
        </is>
      </c>
      <c r="G90" s="67" t="inlineStr">
        <is>
          <t>The FDF is enum 0..6 (GetRoundTripLatencyForFDF switches on 0..6 at 0xcf34).</t>
        </is>
      </c>
      <c r="H90" s="66" t="inlineStr">
        <is>
          <t>Resolvido</t>
        </is>
      </c>
      <c r="I90" s="70" t="inlineStr">
        <is>
          <t>Resolvido — verificado no asm</t>
        </is>
      </c>
      <c r="J90" s="70" t="inlineStr">
        <is>
          <t>PROVENANCE-RESOLUTIONS.md §R5 (FirmwareHalt, CIP, opcodes, FDF); bloco Correction inserido no doc.</t>
        </is>
      </c>
      <c r="K90" s="70" t="inlineStr">
        <is>
          <t>A1</t>
        </is>
      </c>
    </row>
    <row r="91" ht="22.35" customHeight="1" s="21">
      <c r="A91" s="65" t="inlineStr">
        <is>
          <t>AUD-Q4-01</t>
        </is>
      </c>
      <c r="B91" s="67" t="inlineStr">
        <is>
          <t>A1-ghidra/Q4-reconnectp2p-busreset.md (no correction blocks)</t>
        </is>
      </c>
      <c r="C91" s="67" t="inlineStr">
        <is>
          <t>9</t>
        </is>
      </c>
      <c r="D91" s="67" t="inlineStr">
        <is>
          <t>"ReconnectP2P is driven from user space … BusReset … different code paths"</t>
        </is>
      </c>
      <c r="E91" s="66" t="inlineStr">
        <is>
          <t>4</t>
        </is>
      </c>
      <c r="F91" s="66" t="inlineStr">
        <is>
          <t>alta</t>
        </is>
      </c>
      <c r="G91" s="67" t="inlineStr">
        <is>
          <t>BusReset PMF 0xBF1 → vt[0xbf0] = ReconnectP2P.</t>
        </is>
      </c>
      <c r="H91" s="66" t="inlineStr">
        <is>
          <t>Resolvido</t>
        </is>
      </c>
      <c r="I91" s="70" t="inlineStr">
        <is>
          <t>Resolvido — verificado no asm</t>
        </is>
      </c>
      <c r="J91" s="70" t="inlineStr">
        <is>
          <t>PROVENANCE-RESOLUTIONS.md §R4 (ReconnectP2P 0xe1ea / BusReset 0xe53a); bloco Correction inserido no doc.</t>
        </is>
      </c>
      <c r="K91" s="70" t="inlineStr">
        <is>
          <t>A1</t>
        </is>
      </c>
    </row>
    <row r="92" ht="22.35" customHeight="1" s="21">
      <c r="A92" s="65" t="inlineStr">
        <is>
          <t>AUD-Q4-02</t>
        </is>
      </c>
      <c r="B92" s="67" t="inlineStr">
        <is>
          <t>A1-ghidra/Q4-reconnectp2p-busreset.md (no correction blocks)</t>
        </is>
      </c>
      <c r="C92" s="67" t="inlineStr">
        <is>
          <t>16-17</t>
        </is>
      </c>
      <c r="D92" s="67" t="inlineStr">
        <is>
          <t>"vtable[0xcc0] DisconnectAllPlugs; vtable[0xcb8] Quiesce / StopDCL"</t>
        </is>
      </c>
      <c r="E92" s="66" t="inlineStr">
        <is>
          <t>4</t>
        </is>
      </c>
      <c r="F92" s="66" t="inlineStr">
        <is>
          <t>alta</t>
        </is>
      </c>
      <c r="G92" s="67" t="inlineStr">
        <is>
          <t>cb8 = ConnectAllPlugs.</t>
        </is>
      </c>
      <c r="H92" s="66" t="inlineStr">
        <is>
          <t>Resolvido</t>
        </is>
      </c>
      <c r="I92" s="70" t="inlineStr">
        <is>
          <t>Resolvido — verificado no asm</t>
        </is>
      </c>
      <c r="J92" s="70" t="inlineStr">
        <is>
          <t>PROVENANCE-RESOLUTIONS.md §R4 (ReconnectP2P 0xe1ea / BusReset 0xe53a); bloco Correction inserido no doc.</t>
        </is>
      </c>
      <c r="K92" s="70" t="inlineStr">
        <is>
          <t>A1</t>
        </is>
      </c>
    </row>
    <row r="93" ht="22.35" customHeight="1" s="21">
      <c r="A93" s="65" t="inlineStr">
        <is>
          <t>AUD-Q4-03</t>
        </is>
      </c>
      <c r="B93" s="67" t="inlineStr">
        <is>
          <t>A1-ghidra/Q4-reconnectp2p-busreset.md (no correction blocks)</t>
        </is>
      </c>
      <c r="C93" s="67" t="inlineStr">
        <is>
          <t>20</t>
        </is>
      </c>
      <c r="D93" s="67" t="inlineStr">
        <is>
          <t>"if (!this-&gt;fEngine || !…fRunning [0x2d0]) return"</t>
        </is>
      </c>
      <c r="E93" s="66" t="inlineStr">
        <is>
          <t>4</t>
        </is>
      </c>
      <c r="F93" s="66" t="inlineStr">
        <is>
          <t>alta</t>
        </is>
      </c>
      <c r="G93" s="67" t="inlineStr">
        <is>
          <t>Inverted: it calls when [+0x2d0]==0 (0xe22c-0xe233).</t>
        </is>
      </c>
      <c r="H93" s="66" t="inlineStr">
        <is>
          <t>Resolvido</t>
        </is>
      </c>
      <c r="I93" s="70" t="inlineStr">
        <is>
          <t>Resolvido — verificado no asm</t>
        </is>
      </c>
      <c r="J93" s="70" t="inlineStr">
        <is>
          <t>PROVENANCE-RESOLUTIONS.md §R4 (ReconnectP2P 0xe1ea / BusReset 0xe53a); bloco Correction inserido no doc.</t>
        </is>
      </c>
      <c r="K93" s="70" t="inlineStr">
        <is>
          <t>A1</t>
        </is>
      </c>
    </row>
    <row r="94" ht="22.35" customHeight="1" s="21">
      <c r="A94" s="65" t="inlineStr">
        <is>
          <t>AUD-Q4-04</t>
        </is>
      </c>
      <c r="B94" s="67" t="inlineStr">
        <is>
          <t>A1-ghidra/Q4-reconnectp2p-busreset.md (no correction blocks)</t>
        </is>
      </c>
      <c r="C94" s="67" t="inlineStr">
        <is>
          <t>29</t>
        </is>
      </c>
      <c r="D94" s="67" t="inlineStr">
        <is>
          <t>"1100 ms … PLL-lock recovery window … tail-call is the AV/C stream-kick"</t>
        </is>
      </c>
      <c r="E94" s="66" t="inlineStr">
        <is>
          <t>1/4</t>
        </is>
      </c>
      <c r="F94" s="66" t="inlineStr">
        <is>
          <t>média</t>
        </is>
      </c>
      <c r="G94" s="67" t="inlineStr">
        <is>
          <t>The tail is SetClockSourceInternal(mode, blankSlate=1); the 1100 ms rationale has no source.</t>
        </is>
      </c>
      <c r="H94" s="66" t="inlineStr">
        <is>
          <t>Rotulado</t>
        </is>
      </c>
      <c r="I94" s="70" t="inlineStr">
        <is>
          <t>Rotulado como não verificado</t>
        </is>
      </c>
      <c r="J94" s="70" t="inlineStr">
        <is>
          <t>Bloco Correction no doc marca a afirmação como hipótese/estimativa e nomeia a verificação (ver coluna G).</t>
        </is>
      </c>
      <c r="K94" s="70" t="inlineStr">
        <is>
          <t>A1</t>
        </is>
      </c>
    </row>
    <row r="95" ht="22.35" customHeight="1" s="21">
      <c r="A95" s="65" t="inlineStr">
        <is>
          <t>AUD-Q4-05</t>
        </is>
      </c>
      <c r="B95" s="67" t="inlineStr">
        <is>
          <t>A1-ghidra/Q4-reconnectp2p-busreset.md (no correction blocks)</t>
        </is>
      </c>
      <c r="C95" s="67" t="inlineStr">
        <is>
          <t>35</t>
        </is>
      </c>
      <c r="D95" s="67" t="inlineStr">
        <is>
          <t>"vtable[0x688] getBusResetContext()"</t>
        </is>
      </c>
      <c r="E95" s="66" t="inlineStr">
        <is>
          <t>4</t>
        </is>
      </c>
      <c r="F95" s="66" t="inlineStr">
        <is>
          <t>baixa</t>
        </is>
      </c>
      <c r="G95" s="67" t="inlineStr">
        <is>
          <t>Slot 0x688 = IOAudioDevice::getWorkLoop.</t>
        </is>
      </c>
      <c r="H95" s="66" t="inlineStr">
        <is>
          <t>Resolvido</t>
        </is>
      </c>
      <c r="I95" s="70" t="inlineStr">
        <is>
          <t>Resolvido — verificado no asm</t>
        </is>
      </c>
      <c r="J95" s="70" t="inlineStr">
        <is>
          <t>PROVENANCE-RESOLUTIONS.md §R2 (vtables 0x391c0/0x369b0 + otool -rv); bloco Correction inserido no doc.</t>
        </is>
      </c>
      <c r="K95" s="70" t="inlineStr">
        <is>
          <t>A1</t>
        </is>
      </c>
    </row>
    <row r="96" ht="22.35" customHeight="1" s="21">
      <c r="A96" s="65" t="inlineStr">
        <is>
          <t>AUD-Q4-06</t>
        </is>
      </c>
      <c r="B96" s="67" t="inlineStr">
        <is>
          <t>A1-ghidra/Q4-reconnectp2p-busreset.md (no correction blocks)</t>
        </is>
      </c>
      <c r="C96" s="67" t="inlineStr">
        <is>
          <t>46, 56</t>
        </is>
      </c>
      <c r="D96" s="67" t="inlineStr">
        <is>
          <t>"selector 0xBF1 — bus-reset selector … likely FWEngine::BusResetWorker"</t>
        </is>
      </c>
      <c r="E96" s="66" t="inlineStr">
        <is>
          <t>4</t>
        </is>
      </c>
      <c r="F96" s="66" t="inlineStr">
        <is>
          <t>média</t>
        </is>
      </c>
      <c r="G96" s="67" t="inlineStr">
        <is>
          <t>Resolved: ReconnectP2P.</t>
        </is>
      </c>
      <c r="H96" s="66" t="inlineStr">
        <is>
          <t>Resolvido</t>
        </is>
      </c>
      <c r="I96" s="70" t="inlineStr">
        <is>
          <t>Resolvido — verificado no asm</t>
        </is>
      </c>
      <c r="J96" s="70" t="inlineStr">
        <is>
          <t>PROVENANCE-RESOLUTIONS.md §R4 (ReconnectP2P 0xe1ea / BusReset 0xe53a); bloco Correction inserido no doc.</t>
        </is>
      </c>
      <c r="K96" s="70" t="inlineStr">
        <is>
          <t>A1</t>
        </is>
      </c>
    </row>
    <row r="97" ht="22.35" customHeight="1" s="21">
      <c r="A97" s="65" t="inlineStr">
        <is>
          <t>AUD-Q5-01</t>
        </is>
      </c>
      <c r="B97" s="67" t="inlineStr">
        <is>
          <t>A1-ghidra/Q5-clock-source.md</t>
        </is>
      </c>
      <c r="C97" s="67" t="inlineStr">
        <is>
          <t>135</t>
        </is>
      </c>
      <c r="D97" s="67" t="inlineStr">
        <is>
          <t>"then calls the Rev1 vtable[0xb70] (plug-rate-set)"</t>
        </is>
      </c>
      <c r="E97" s="66" t="inlineStr">
        <is>
          <t>4</t>
        </is>
      </c>
      <c r="F97" s="66" t="inlineStr">
        <is>
          <t>média</t>
        </is>
      </c>
      <c r="G97" s="67" t="inlineStr">
        <is>
          <t>`__ZTV17FWRev1AudioDevice`+0xb70 = slot 0xb60 = FWAVCAudioDevice::SetClockSourceInternal @0x23148 (super-call).</t>
        </is>
      </c>
      <c r="H97" s="66" t="inlineStr">
        <is>
          <t>Resolvido</t>
        </is>
      </c>
      <c r="I97" s="70" t="inlineStr">
        <is>
          <t>Resolvido — via audit + bloco no doc</t>
        </is>
      </c>
      <c r="J97" s="70" t="inlineStr">
        <is>
          <t>Leitura do audit (asm/captura) propagada como bloco Correction; não re-derivada aqui (ver PROVENANCE-AUDIT.md).</t>
        </is>
      </c>
      <c r="K97" s="70" t="inlineStr">
        <is>
          <t>A1</t>
        </is>
      </c>
    </row>
    <row r="98" ht="15" customHeight="1" s="21">
      <c r="A98" s="65" t="inlineStr">
        <is>
          <t>AUD-Q5-02</t>
        </is>
      </c>
      <c r="B98" s="67" t="inlineStr">
        <is>
          <t>A1-ghidra/Q5-clock-source.md</t>
        </is>
      </c>
      <c r="C98" s="67" t="inlineStr">
        <is>
          <t>274, 315</t>
        </is>
      </c>
      <c r="D98" s="67" t="inlineStr">
        <is>
          <t>"this-&gt;vtable[0xbe0](this, mode); // AV/C stream kick"</t>
        </is>
      </c>
      <c r="E98" s="66" t="inlineStr">
        <is>
          <t>4</t>
        </is>
      </c>
      <c r="F98" s="66" t="inlineStr">
        <is>
          <t>alta</t>
        </is>
      </c>
      <c r="G98" s="67" t="inlineStr">
        <is>
          <t>SwitchDigitalSignals.</t>
        </is>
      </c>
      <c r="H98" s="66" t="inlineStr">
        <is>
          <t>Resolvido</t>
        </is>
      </c>
      <c r="I98" s="70" t="inlineStr">
        <is>
          <t>Resolvido — verificado no asm</t>
        </is>
      </c>
      <c r="J98" s="70" t="inlineStr">
        <is>
          <t>PROVENANCE-RESOLUTIONS.md §R2 (vtables 0x391c0/0x369b0 + otool -rv); bloco Correction inserido no doc.</t>
        </is>
      </c>
      <c r="K98" s="70" t="inlineStr">
        <is>
          <t>A1</t>
        </is>
      </c>
    </row>
    <row r="99" ht="15" customHeight="1" s="21">
      <c r="A99" s="65" t="inlineStr">
        <is>
          <t>AUD-Q5-03</t>
        </is>
      </c>
      <c r="B99" s="67" t="inlineStr">
        <is>
          <t>A1-ghidra/Q5-clock-source.md</t>
        </is>
      </c>
      <c r="C99" s="67" t="inlineStr">
        <is>
          <t>16</t>
        </is>
      </c>
      <c r="D99" s="67" t="inlineStr">
        <is>
          <t>"SetDigitalInputActive branch"</t>
        </is>
      </c>
      <c r="E99" s="66" t="inlineStr">
        <is>
          <t>4</t>
        </is>
      </c>
      <c r="F99" s="66" t="inlineStr">
        <is>
          <t>baixa</t>
        </is>
      </c>
      <c r="G99" s="67" t="inlineStr">
        <is>
          <t>Symbol absent; SetExternalSyncEnabled.</t>
        </is>
      </c>
      <c r="H99" s="66" t="inlineStr">
        <is>
          <t>Resolvido</t>
        </is>
      </c>
      <c r="I99" s="70" t="inlineStr">
        <is>
          <t>Resolvido — verificado no asm</t>
        </is>
      </c>
      <c r="J99" s="70" t="inlineStr">
        <is>
          <t>PROVENANCE-RESOLUTIONS.md §R2 (vtables 0x391c0/0x369b0 + otool -rv); bloco Correction inserido no doc.</t>
        </is>
      </c>
      <c r="K99" s="70" t="inlineStr">
        <is>
          <t>A1</t>
        </is>
      </c>
    </row>
    <row r="100" ht="22.35" customHeight="1" s="21">
      <c r="A100" s="65" t="inlineStr">
        <is>
          <t>AUD-Q6-01</t>
        </is>
      </c>
      <c r="B100" s="67" t="inlineStr">
        <is>
          <t>A1-ghidra/Q6-fwhsci.md</t>
        </is>
      </c>
      <c r="C100" s="67" t="inlineStr">
        <is>
          <t>5</t>
        </is>
      </c>
      <c r="D100" s="67" t="inlineStr">
        <is>
          <t>"HSCIReadComplete 0x1d81e, Release 0x1d8c4, Stop 0x1d8dc, Start 0x1d8fb"</t>
        </is>
      </c>
      <c r="E100" s="66" t="inlineStr">
        <is>
          <t>4</t>
        </is>
      </c>
      <c r="F100" s="66" t="inlineStr">
        <is>
          <t>média</t>
        </is>
      </c>
      <c r="G100" s="67" t="inlineStr">
        <is>
          <t>Actual: 0x1d80e, 0x1d8a4, 0x1d8fe, 0x1d94e.</t>
        </is>
      </c>
      <c r="H100" s="66" t="inlineStr">
        <is>
          <t>Resolvido</t>
        </is>
      </c>
      <c r="I100" s="70" t="inlineStr">
        <is>
          <t>Resolvido — via audit + bloco no doc</t>
        </is>
      </c>
      <c r="J100" s="70" t="inlineStr">
        <is>
          <t>Leitura do audit (asm/captura) propagada como bloco Correction; não re-derivada aqui (ver PROVENANCE-AUDIT.md).</t>
        </is>
      </c>
      <c r="K100" s="70" t="inlineStr">
        <is>
          <t>A1</t>
        </is>
      </c>
    </row>
    <row r="101" ht="22.35" customHeight="1" s="21">
      <c r="A101" s="65" t="inlineStr">
        <is>
          <t>AUD-Q6-02</t>
        </is>
      </c>
      <c r="B101" s="67" t="inlineStr">
        <is>
          <t>A1-ghidra/Q6-fwhsci.md</t>
        </is>
      </c>
      <c r="C101" s="67" t="inlineStr">
        <is>
          <t>23, 95</t>
        </is>
      </c>
      <c r="D101" s="67" t="inlineStr">
        <is>
          <t>"+0xd4 fLastErrCode … != 0: increment fLastErrCode"</t>
        </is>
      </c>
      <c r="E101" s="66" t="inlineStr">
        <is>
          <t>4</t>
        </is>
      </c>
      <c r="F101" s="66" t="inlineStr">
        <is>
          <t>média</t>
        </is>
      </c>
      <c r="G101" s="67" t="inlineStr">
        <is>
          <t>Error path 0x1d843 only re-arms 1000 ms; +0xd4 is zeroed and added to the 50 ms re-arm (0x1d4e2, 0x1d50d-0x1d513).</t>
        </is>
      </c>
      <c r="H101" s="66" t="inlineStr">
        <is>
          <t>Resolvido</t>
        </is>
      </c>
      <c r="I101" s="70" t="inlineStr">
        <is>
          <t>Resolvido — via audit + bloco no doc</t>
        </is>
      </c>
      <c r="J101" s="70" t="inlineStr">
        <is>
          <t>Leitura do audit (asm/captura) propagada como bloco Correction; não re-derivada aqui (ver PROVENANCE-AUDIT.md).</t>
        </is>
      </c>
      <c r="K101" s="70" t="inlineStr">
        <is>
          <t>A1</t>
        </is>
      </c>
    </row>
    <row r="102" ht="15" customHeight="1" s="21">
      <c r="A102" s="65" t="inlineStr">
        <is>
          <t>AUD-Q6-03</t>
        </is>
      </c>
      <c r="B102" s="67" t="inlineStr">
        <is>
          <t>A1-ghidra/Q6-fwhsci.md</t>
        </is>
      </c>
      <c r="C102" s="67" t="inlineStr">
        <is>
          <t>9</t>
        </is>
      </c>
      <c r="D102" s="67" t="inlineStr">
        <is>
          <t>"N = this-&gt;rate &gt;&gt; 2"</t>
        </is>
      </c>
      <c r="E102" s="66" t="inlineStr">
        <is>
          <t>3</t>
        </is>
      </c>
      <c r="F102" s="66" t="inlineStr">
        <is>
          <t>baixa</t>
        </is>
      </c>
      <c r="G102" s="67" t="inlineStr">
        <is>
          <t>[+0xc0] is a byte length.</t>
        </is>
      </c>
      <c r="H102" s="66" t="inlineStr">
        <is>
          <t>Resolvido</t>
        </is>
      </c>
      <c r="I102" s="70" t="inlineStr">
        <is>
          <t>Resolvido — via audit + bloco no doc</t>
        </is>
      </c>
      <c r="J102" s="70" t="inlineStr">
        <is>
          <t>Leitura do audit (asm/captura) propagada como bloco Correction; não re-derivada aqui (ver PROVENANCE-AUDIT.md).</t>
        </is>
      </c>
      <c r="K102" s="70" t="inlineStr">
        <is>
          <t>A1</t>
        </is>
      </c>
    </row>
    <row r="103" ht="15" customHeight="1" s="21">
      <c r="A103" s="65" t="inlineStr">
        <is>
          <t>AUD-Q6-04</t>
        </is>
      </c>
      <c r="B103" s="67" t="inlineStr">
        <is>
          <t>A1-ghidra/Q6-fwhsci.md</t>
        </is>
      </c>
      <c r="C103" s="67" t="inlineStr">
        <is>
          <t>94</t>
        </is>
      </c>
      <c r="D103" s="67" t="inlineStr">
        <is>
          <t>"dispatch … re-arm timer in 50 ms"</t>
        </is>
      </c>
      <c r="E103" s="66" t="inlineStr">
        <is>
          <t>4</t>
        </is>
      </c>
      <c r="F103" s="66" t="inlineStr">
        <is>
          <t>baixa</t>
        </is>
      </c>
      <c r="G103" s="67" t="inlineStr">
        <is>
          <t>Via InvokeOnNewThread(HSCISafelyComplete); 50+[+0xd4].</t>
        </is>
      </c>
      <c r="H103" s="66" t="inlineStr">
        <is>
          <t>Resolvido</t>
        </is>
      </c>
      <c r="I103" s="70" t="inlineStr">
        <is>
          <t>Resolvido — via audit + bloco no doc</t>
        </is>
      </c>
      <c r="J103" s="70" t="inlineStr">
        <is>
          <t>Leitura do audit (asm/captura) propagada como bloco Correction; não re-derivada aqui (ver PROVENANCE-AUDIT.md).</t>
        </is>
      </c>
      <c r="K103" s="70" t="inlineStr">
        <is>
          <t>A1</t>
        </is>
      </c>
    </row>
    <row r="104" ht="22.35" customHeight="1" s="21">
      <c r="A104" s="65" t="inlineStr">
        <is>
          <t>AUD-Q1-01</t>
        </is>
      </c>
      <c r="B104" s="67" t="inlineStr">
        <is>
          <t>A1-ghidra/Q1, Q1a, Q1b</t>
        </is>
      </c>
      <c r="C104" s="67" t="inlineStr">
        <is>
          <t>Q1:177, 187</t>
        </is>
      </c>
      <c r="D104" s="67" t="inlineStr">
        <is>
          <t>"createLocalIsochPort … setting the OHCI s bit on kDCLCallProcOp nodes"</t>
        </is>
      </c>
      <c r="E104" s="66" t="inlineStr">
        <is>
          <t>1</t>
        </is>
      </c>
      <c r="F104" s="66" t="inlineStr">
        <is>
          <t>alta</t>
        </is>
      </c>
      <c r="G104" s="67" t="inlineStr">
        <is>
          <t>IOKit-internal claim with no source; contradicts C2/C4 "timestamp node".</t>
        </is>
      </c>
      <c r="H104" s="66" t="inlineStr">
        <is>
          <t>Resolvido</t>
        </is>
      </c>
      <c r="I104" s="70" t="inlineStr">
        <is>
          <t>Resolvido — verificado no asm</t>
        </is>
      </c>
      <c r="J104" s="70" t="inlineStr">
        <is>
          <t>PROVENANCE-RESOLUTIONS.md §R7 + A1-ghidra/Q-OHCI-interrupt.md (AppleFWOHCI 5.5.9: translateLegacyProgram 0x8d5e, SendDCL::compile 0xd53f, ReceiveDCL::compile 0xcce7); bloco Correction inserido no doc.</t>
        </is>
      </c>
      <c r="K104" s="70" t="inlineStr">
        <is>
          <t>A1</t>
        </is>
      </c>
    </row>
    <row r="105" ht="15" customHeight="1" s="21">
      <c r="A105" s="65" t="inlineStr">
        <is>
          <t>AUD-Q1-02</t>
        </is>
      </c>
      <c r="B105" s="67" t="inlineStr">
        <is>
          <t>A1-ghidra/Q1, Q1a, Q1b</t>
        </is>
      </c>
      <c r="C105" s="67" t="inlineStr">
        <is>
          <t>Q1a:85</t>
        </is>
      </c>
      <c r="D105" s="67" t="inlineStr">
        <is>
          <t>"9 | SetTagSyncBits"</t>
        </is>
      </c>
      <c r="E105" s="66" t="inlineStr">
        <is>
          <t>4</t>
        </is>
      </c>
      <c r="F105" s="66" t="inlineStr">
        <is>
          <t>média</t>
        </is>
      </c>
      <c r="G105" s="67" t="inlineStr">
        <is>
          <t>AddSetTagSyncBits emits 0xb.</t>
        </is>
      </c>
      <c r="H105" s="66" t="inlineStr">
        <is>
          <t>Resolvido</t>
        </is>
      </c>
      <c r="I105" s="70" t="inlineStr">
        <is>
          <t>Resolvido — verificado no asm</t>
        </is>
      </c>
      <c r="J105" s="70" t="inlineStr">
        <is>
          <t>PROVENANCE-RESOLUTIONS.md §R5 (FirmwareHalt, CIP, opcodes, FDF); bloco Correction inserido no doc.</t>
        </is>
      </c>
      <c r="K105" s="70" t="inlineStr">
        <is>
          <t>A1</t>
        </is>
      </c>
    </row>
    <row r="106" ht="22.35" customHeight="1" s="21">
      <c r="A106" s="65" t="inlineStr">
        <is>
          <t>AUD-Q1-03</t>
        </is>
      </c>
      <c r="B106" s="67" t="inlineStr">
        <is>
          <t>A1-ghidra/Q1, Q1a, Q1b</t>
        </is>
      </c>
      <c r="C106" s="67" t="inlineStr">
        <is>
          <t>Q1b:156, 158</t>
        </is>
      </c>
      <c r="D106" s="67" t="inlineStr">
        <is>
          <t>"9 kDCLSetTagSyncBitsOp … 11 kDCLLabelOp"</t>
        </is>
      </c>
      <c r="E106" s="66" t="inlineStr">
        <is>
          <t>4</t>
        </is>
      </c>
      <c r="F106" s="66" t="inlineStr">
        <is>
          <t>média</t>
        </is>
      </c>
      <c r="G106" s="67" t="inlineStr">
        <is>
          <t>AddLabel emits 0x9; verify against the 10.13 SDK `IOFireWireFamilyCommon.h` on the build PC.</t>
        </is>
      </c>
      <c r="H106" s="66" t="inlineStr">
        <is>
          <t>Resolvido</t>
        </is>
      </c>
      <c r="I106" s="70" t="inlineStr">
        <is>
          <t>Resolvido — verificado no asm</t>
        </is>
      </c>
      <c r="J106" s="70" t="inlineStr">
        <is>
          <t>PROVENANCE-RESOLUTIONS.md §R5 (FirmwareHalt, CIP, opcodes, FDF); bloco Correction inserido no doc.</t>
        </is>
      </c>
      <c r="K106" s="70" t="inlineStr">
        <is>
          <t>A1</t>
        </is>
      </c>
    </row>
    <row r="107" ht="15" customHeight="1" s="21">
      <c r="A107" s="65" t="inlineStr">
        <is>
          <t>AUD-A1-01</t>
        </is>
      </c>
      <c r="B107" s="67" t="inlineStr">
        <is>
          <t>Other A1 docs</t>
        </is>
      </c>
      <c r="C107" s="67" t="inlineStr">
        <is>
          <t>Q7:65</t>
        </is>
      </c>
      <c r="D107" s="67" t="inlineStr">
        <is>
          <t>"presumably so the panel/prefpane can observe"</t>
        </is>
      </c>
      <c r="E107" s="66" t="inlineStr">
        <is>
          <t>1</t>
        </is>
      </c>
      <c r="F107" s="66" t="inlineStr">
        <is>
          <t>baixa</t>
        </is>
      </c>
      <c r="G107" s="67" t="inlineStr">
        <is>
          <t>Resolve the global at 0x14467c(%rip).</t>
        </is>
      </c>
      <c r="H107" s="66" t="inlineStr">
        <is>
          <t>Rotulado</t>
        </is>
      </c>
      <c r="I107" s="70" t="inlineStr">
        <is>
          <t>Rotulado como não verificado</t>
        </is>
      </c>
      <c r="J107" s="70" t="inlineStr">
        <is>
          <t>Bloco Correction no doc marca a afirmação como hipótese/estimativa e nomeia a verificação (ver coluna G).</t>
        </is>
      </c>
      <c r="K107" s="70" t="inlineStr">
        <is>
          <t>A1</t>
        </is>
      </c>
    </row>
    <row r="108" ht="22.35" customHeight="1" s="21">
      <c r="A108" s="65" t="inlineStr">
        <is>
          <t>AUD-A1-02</t>
        </is>
      </c>
      <c r="B108" s="67" t="inlineStr">
        <is>
          <t>Other A1 docs</t>
        </is>
      </c>
      <c r="C108" s="67" t="inlineStr">
        <is>
          <t>Q7:247</t>
        </is>
      </c>
      <c r="D108" s="67" t="inlineStr">
        <is>
          <t>"Likely the user-space firmware updater talks via FWUserClient::externalMethod"</t>
        </is>
      </c>
      <c r="E108" s="66" t="inlineStr">
        <is>
          <t>1</t>
        </is>
      </c>
      <c r="F108" s="66" t="inlineStr">
        <is>
          <t>baixa</t>
        </is>
      </c>
      <c r="G108" s="67" t="inlineStr">
        <is>
          <t>Contradicted by A4-H2 (setProperty path); needs a correction block.</t>
        </is>
      </c>
      <c r="H108" s="66" t="inlineStr">
        <is>
          <t>Resolvido</t>
        </is>
      </c>
      <c r="I108" s="70" t="inlineStr">
        <is>
          <t>Resolvido — verificado no asm</t>
        </is>
      </c>
      <c r="J108" s="70" t="inlineStr">
        <is>
          <t>PROVENANCE-RESOLUTIONS.md §R16 (capture readings; FFADO avc_signal_source.cpp:33; kext 0x12c7e); bloco Correction inserido no doc.</t>
        </is>
      </c>
      <c r="K108" s="70" t="inlineStr">
        <is>
          <t>A1</t>
        </is>
      </c>
    </row>
    <row r="109" ht="15" customHeight="1" s="21">
      <c r="A109" s="65" t="inlineStr">
        <is>
          <t>AUD-A1-03</t>
        </is>
      </c>
      <c r="B109" s="67" t="inlineStr">
        <is>
          <t>Other A1 docs</t>
        </is>
      </c>
      <c r="C109" s="67" t="inlineStr">
        <is>
          <t>Q16:39, 75</t>
        </is>
      </c>
      <c r="D109" s="67" t="inlineStr">
        <is>
          <t>"AVC opcode 0x1A is the AV/C stream-input-connect"</t>
        </is>
      </c>
      <c r="E109" s="66" t="inlineStr">
        <is>
          <t>1</t>
        </is>
      </c>
      <c r="F109" s="66" t="inlineStr">
        <is>
          <t>baixa</t>
        </is>
      </c>
      <c r="G109" s="67" t="inlineStr">
        <is>
          <t>AV/C General spec: 0x1A = SIGNAL SOURCE; also Rev2-only.</t>
        </is>
      </c>
      <c r="H109" s="66" t="inlineStr">
        <is>
          <t>Resolvido</t>
        </is>
      </c>
      <c r="I109" s="70" t="inlineStr">
        <is>
          <t>Resolvido — verificado no asm</t>
        </is>
      </c>
      <c r="J109" s="70" t="inlineStr">
        <is>
          <t>PROVENANCE-RESOLUTIONS.md §R16 (capture readings; FFADO avc_signal_source.cpp:33; kext 0x12c7e); bloco Correction inserido no doc.</t>
        </is>
      </c>
      <c r="K109" s="70" t="inlineStr">
        <is>
          <t>A1</t>
        </is>
      </c>
    </row>
    <row r="110" ht="15" customHeight="1" s="21">
      <c r="A110" s="65" t="inlineStr">
        <is>
          <t>AUD-A1-04</t>
        </is>
      </c>
      <c r="B110" s="67" t="inlineStr">
        <is>
          <t>Other A1 docs</t>
        </is>
      </c>
      <c r="C110" s="67" t="inlineStr">
        <is>
          <t>Q17:114</t>
        </is>
      </c>
      <c r="D110" s="67" t="inlineStr">
        <is>
          <t>"the DM1000 firmware is tuned against 0xCF"</t>
        </is>
      </c>
      <c r="E110" s="66" t="inlineStr">
        <is>
          <t>1</t>
        </is>
      </c>
      <c r="F110" s="66" t="inlineStr">
        <is>
          <t>média</t>
        </is>
      </c>
      <c r="G110" s="67" t="inlineStr">
        <is>
          <t>Unlabelled hypothesis.</t>
        </is>
      </c>
      <c r="H110" s="66" t="inlineStr">
        <is>
          <t>Aberto</t>
        </is>
      </c>
      <c r="I110" s="70" t="inlineStr">
        <is>
          <t>Aberto — precisa de pesquisa/captura</t>
        </is>
      </c>
      <c r="J110" s="70" t="inlineStr">
        <is>
          <t>Idem C4-09. Doc rotulado como não verificado.</t>
        </is>
      </c>
      <c r="K110" s="70" t="inlineStr">
        <is>
          <t>A1</t>
        </is>
      </c>
    </row>
    <row r="111" ht="32.8" customHeight="1" s="21">
      <c r="A111" s="65" t="inlineStr">
        <is>
          <t>AUD-A1-05</t>
        </is>
      </c>
      <c r="B111" s="67" t="inlineStr">
        <is>
          <t>Other A1 docs</t>
        </is>
      </c>
      <c r="C111" s="67" t="inlineStr">
        <is>
          <t>A1-ghidra/README:17, 19, 38</t>
        </is>
      </c>
      <c r="D111" s="67" t="inlineStr">
        <is>
          <t>"1100 ms stream-kick", "12-byte envelope", "0x18 STATUS read-back"</t>
        </is>
      </c>
      <c r="E111" s="66" t="inlineStr">
        <is>
          <t>4</t>
        </is>
      </c>
      <c r="F111" s="66" t="inlineStr">
        <is>
          <t>baixa</t>
        </is>
      </c>
      <c r="G111" s="67" t="inlineStr">
        <is>
          <t>Stale index rows.</t>
        </is>
      </c>
      <c r="H111" s="66" t="inlineStr">
        <is>
          <t>Resolvido</t>
        </is>
      </c>
      <c r="I111" s="70" t="inlineStr">
        <is>
          <t>Resolvido — via audit + bloco no doc</t>
        </is>
      </c>
      <c r="J111" s="70" t="inlineStr">
        <is>
          <t>Leitura do audit (asm/captura) propagada como bloco Correction; não re-derivada aqui (ver PROVENANCE-AUDIT.md).</t>
        </is>
      </c>
      <c r="K111" s="70" t="inlineStr">
        <is>
          <t>A1</t>
        </is>
      </c>
    </row>
    <row r="112" ht="22.35" customHeight="1" s="21">
      <c r="A112" s="65" t="inlineStr">
        <is>
          <t>AUD-A1-06</t>
        </is>
      </c>
      <c r="B112" s="67" t="inlineStr">
        <is>
          <t>Other A1 docs</t>
        </is>
      </c>
      <c r="C112" s="67" t="inlineStr">
        <is>
          <t>A1-reference-kext.md:55</t>
        </is>
      </c>
      <c r="D112" s="67" t="inlineStr">
        <is>
          <t>"com_m_audio_FW1814Device → likely FWRev2AudioDevice"</t>
        </is>
      </c>
      <c r="E112" s="66" t="inlineStr">
        <is>
          <t>4</t>
        </is>
      </c>
      <c r="F112" s="66" t="inlineStr">
        <is>
          <t>baixa</t>
        </is>
      </c>
      <c r="G112" s="67" t="inlineStr">
        <is>
          <t>Rev1 (0xf473); no correction here.</t>
        </is>
      </c>
      <c r="H112" s="66" t="inlineStr">
        <is>
          <t>Resolvido</t>
        </is>
      </c>
      <c r="I112" s="70" t="inlineStr">
        <is>
          <t>Resolvido — via audit + bloco no doc</t>
        </is>
      </c>
      <c r="J112" s="70" t="inlineStr">
        <is>
          <t>Leitura do audit (asm/captura) propagada como bloco Correction; não re-derivada aqui (ver PROVENANCE-AUDIT.md).</t>
        </is>
      </c>
      <c r="K112" s="70" t="inlineStr">
        <is>
          <t>A1</t>
        </is>
      </c>
    </row>
    <row r="113" ht="15" customHeight="1" s="21">
      <c r="A113" s="65" t="inlineStr">
        <is>
          <t>AUD-B-01</t>
        </is>
      </c>
      <c r="B113" s="67" t="inlineStr">
        <is>
          <t>B docs</t>
        </is>
      </c>
      <c r="C113" s="67" t="inlineStr">
        <is>
          <t>B1:85</t>
        </is>
      </c>
      <c r="D113" s="67" t="inlineStr">
        <is>
          <t>"AV/C stream-kick after clock change (vtable[0xbe0])"</t>
        </is>
      </c>
      <c r="E113" s="66" t="inlineStr">
        <is>
          <t>4</t>
        </is>
      </c>
      <c r="F113" s="66" t="inlineStr">
        <is>
          <t>média</t>
        </is>
      </c>
      <c r="G113" s="67" t="inlineStr">
        <is>
          <t>vt[0xbe0] = SwitchDigitalSignals.</t>
        </is>
      </c>
      <c r="H113" s="66" t="inlineStr">
        <is>
          <t>Resolvido</t>
        </is>
      </c>
      <c r="I113" s="70" t="inlineStr">
        <is>
          <t>Resolvido — verificado no asm</t>
        </is>
      </c>
      <c r="J113" s="70" t="inlineStr">
        <is>
          <t>PROVENANCE-RESOLUTIONS.md §R2 (vtables 0x391c0/0x369b0 + otool -rv); bloco Correction inserido no doc.</t>
        </is>
      </c>
      <c r="K113" s="70" t="inlineStr">
        <is>
          <t>B1</t>
        </is>
      </c>
    </row>
    <row r="114" ht="15" customHeight="1" s="21">
      <c r="A114" s="65" t="inlineStr">
        <is>
          <t>AUD-B-02</t>
        </is>
      </c>
      <c r="B114" s="67" t="inlineStr">
        <is>
          <t>B docs</t>
        </is>
      </c>
      <c r="C114" s="67" t="inlineStr">
        <is>
          <t>B1:132</t>
        </is>
      </c>
      <c r="D114" s="67" t="inlineStr">
        <is>
          <t>"probably the mechanism behind A1-Q6's 50 ms floor"</t>
        </is>
      </c>
      <c r="E114" s="66" t="inlineStr">
        <is>
          <t>1</t>
        </is>
      </c>
      <c r="F114" s="66" t="inlineStr">
        <is>
          <t>baixa</t>
        </is>
      </c>
      <c r="G114" s="67" t="inlineStr">
        <is>
          <t>Speculation.</t>
        </is>
      </c>
      <c r="H114" s="66" t="inlineStr">
        <is>
          <t>Rotulado</t>
        </is>
      </c>
      <c r="I114" s="70" t="inlineStr">
        <is>
          <t>Rotulado como não verificado</t>
        </is>
      </c>
      <c r="J114" s="70" t="inlineStr">
        <is>
          <t>Bloco Correction no doc marca a afirmação como hipótese/estimativa e nomeia a verificação (ver coluna G).</t>
        </is>
      </c>
      <c r="K114" s="70" t="inlineStr">
        <is>
          <t>B1</t>
        </is>
      </c>
    </row>
    <row r="115" ht="22.35" customHeight="1" s="21">
      <c r="A115" s="65" t="inlineStr">
        <is>
          <t>AUD-B-03</t>
        </is>
      </c>
      <c r="B115" s="67" t="inlineStr">
        <is>
          <t>B docs</t>
        </is>
      </c>
      <c r="C115" s="67" t="inlineStr">
        <is>
          <t>B2:298-304</t>
        </is>
      </c>
      <c r="D115" s="67" t="inlineStr">
        <is>
          <t>"cross-validates project_fw1814_stream_kick as the correct FW1814 path"</t>
        </is>
      </c>
      <c r="E115" s="66" t="inlineStr">
        <is>
          <t>2</t>
        </is>
      </c>
      <c r="F115" s="66" t="inlineStr">
        <is>
          <t>média</t>
        </is>
      </c>
      <c r="G115" s="67" t="inlineStr">
        <is>
          <t>Third-party only; contradicted by Q3a §3 Correction.</t>
        </is>
      </c>
      <c r="H115" s="66" t="inlineStr">
        <is>
          <t>Rotulado</t>
        </is>
      </c>
      <c r="I115" s="70" t="inlineStr">
        <is>
          <t>Rotulado como não verificado</t>
        </is>
      </c>
      <c r="J115" s="70" t="inlineStr">
        <is>
          <t>Bloco Correction no doc marca a afirmação como hipótese/estimativa e nomeia a verificação (ver coluna G).</t>
        </is>
      </c>
      <c r="K115" s="70" t="inlineStr">
        <is>
          <t>B2</t>
        </is>
      </c>
    </row>
    <row r="116" ht="15" customHeight="1" s="21">
      <c r="A116" s="65" t="inlineStr">
        <is>
          <t>AUD-B-04</t>
        </is>
      </c>
      <c r="B116" s="67" t="inlineStr">
        <is>
          <t>B docs</t>
        </is>
      </c>
      <c r="C116" s="67" t="inlineStr">
        <is>
          <t>B2:304</t>
        </is>
      </c>
      <c r="D116" s="67" t="inlineStr">
        <is>
          <t>"FWHSCI::ChangeRate (A1-Q15c)"</t>
        </is>
      </c>
      <c r="E116" s="66" t="inlineStr">
        <is>
          <t>4</t>
        </is>
      </c>
      <c r="F116" s="66" t="inlineStr">
        <is>
          <t>baixa</t>
        </is>
      </c>
      <c r="G116" s="67" t="inlineStr">
        <is>
          <t>No such symbol (Q15c:6).</t>
        </is>
      </c>
      <c r="H116" s="66" t="inlineStr">
        <is>
          <t>Resolvido</t>
        </is>
      </c>
      <c r="I116" s="70" t="inlineStr">
        <is>
          <t>Resolvido — via audit + bloco no doc</t>
        </is>
      </c>
      <c r="J116" s="70" t="inlineStr">
        <is>
          <t>Leitura do audit (asm/captura) propagada como bloco Correction; não re-derivada aqui (ver PROVENANCE-AUDIT.md).</t>
        </is>
      </c>
      <c r="K116" s="70" t="inlineStr">
        <is>
          <t>B2</t>
        </is>
      </c>
    </row>
    <row r="117" ht="22.35" customHeight="1" s="21">
      <c r="A117" s="65" t="inlineStr">
        <is>
          <t>AUD-B-05</t>
        </is>
      </c>
      <c r="B117" s="67" t="inlineStr">
        <is>
          <t>B docs</t>
        </is>
      </c>
      <c r="C117" s="67" t="inlineStr">
        <is>
          <t>B4:20, 59, 61, 280</t>
        </is>
      </c>
      <c r="D117" s="67" t="inlineStr">
        <is>
          <t>"plug map + stream-kick we locked are hardware truth"</t>
        </is>
      </c>
      <c r="E117" s="66" t="inlineStr">
        <is>
          <t>2</t>
        </is>
      </c>
      <c r="F117" s="66" t="inlineStr">
        <is>
          <t>média</t>
        </is>
      </c>
      <c r="G117" s="67" t="inlineStr">
        <is>
          <t>macfw/Linux only; the kext order differs.</t>
        </is>
      </c>
      <c r="H117" s="66" t="inlineStr">
        <is>
          <t>Rotulado</t>
        </is>
      </c>
      <c r="I117" s="70" t="inlineStr">
        <is>
          <t>Rotulado como não verificado</t>
        </is>
      </c>
      <c r="J117" s="70" t="inlineStr">
        <is>
          <t>Bloco Correction no doc marca a afirmação como hipótese/estimativa e nomeia a verificação (ver coluna G).</t>
        </is>
      </c>
      <c r="K117" s="70" t="inlineStr">
        <is>
          <t>B4</t>
        </is>
      </c>
    </row>
    <row r="118" ht="15" customHeight="1" s="21">
      <c r="A118" s="65" t="inlineStr">
        <is>
          <t>AUD-B-06</t>
        </is>
      </c>
      <c r="B118" s="67" t="inlineStr">
        <is>
          <t>B docs</t>
        </is>
      </c>
      <c r="C118" s="67" t="inlineStr">
        <is>
          <t>B5:408</t>
        </is>
      </c>
      <c r="D118" s="67" t="inlineStr">
        <is>
          <t>"SetDigitalInputActive(false) on the engine via vtable[0xce8]"</t>
        </is>
      </c>
      <c r="E118" s="66" t="inlineStr">
        <is>
          <t>4</t>
        </is>
      </c>
      <c r="F118" s="66" t="inlineStr">
        <is>
          <t>baixa</t>
        </is>
      </c>
      <c r="G118" s="67" t="inlineStr">
        <is>
          <t>SetExternalSyncEnabled.</t>
        </is>
      </c>
      <c r="H118" s="66" t="inlineStr">
        <is>
          <t>Resolvido</t>
        </is>
      </c>
      <c r="I118" s="70" t="inlineStr">
        <is>
          <t>Resolvido — verificado no asm</t>
        </is>
      </c>
      <c r="J118" s="70" t="inlineStr">
        <is>
          <t>PROVENANCE-RESOLUTIONS.md §R2 (vtables 0x391c0/0x369b0 + otool -rv); bloco Correction inserido no doc.</t>
        </is>
      </c>
      <c r="K118" s="70" t="inlineStr">
        <is>
          <t>B5</t>
        </is>
      </c>
    </row>
    <row r="119" ht="15" customHeight="1" s="21">
      <c r="A119" s="65" t="inlineStr">
        <is>
          <t>AUD-B-07</t>
        </is>
      </c>
      <c r="B119" s="67" t="inlineStr">
        <is>
          <t>B docs</t>
        </is>
      </c>
      <c r="C119" s="67" t="inlineStr">
        <is>
          <t>B5:530</t>
        </is>
      </c>
      <c r="D119" s="67" t="inlineStr">
        <is>
          <t>"MIDIServer userclients … presumably"</t>
        </is>
      </c>
      <c r="E119" s="66" t="inlineStr">
        <is>
          <t>1</t>
        </is>
      </c>
      <c r="F119" s="66" t="inlineStr">
        <is>
          <t>baixa</t>
        </is>
      </c>
      <c r="G119" s="67" t="inlineStr">
        <is>
          <t>—</t>
        </is>
      </c>
      <c r="H119" s="66" t="inlineStr">
        <is>
          <t>Rotulado</t>
        </is>
      </c>
      <c r="I119" s="70" t="inlineStr">
        <is>
          <t>Rotulado como não verificado</t>
        </is>
      </c>
      <c r="J119" s="70" t="inlineStr">
        <is>
          <t>Bloco Correction no doc marca a afirmação como hipótese/estimativa e nomeia a verificação (ver coluna G).</t>
        </is>
      </c>
      <c r="K119" s="70" t="inlineStr">
        <is>
          <t>B5</t>
        </is>
      </c>
    </row>
    <row r="120" ht="22.35" customHeight="1" s="21">
      <c r="A120" s="65" t="inlineStr">
        <is>
          <t>AUD-A2A6-01</t>
        </is>
      </c>
      <c r="B120" s="67" t="inlineStr">
        <is>
          <t>A2 / A3 / A4 / A5 / A6 / README (sample)</t>
        </is>
      </c>
      <c r="C120" s="67" t="inlineStr">
        <is>
          <t>A2-P9:212</t>
        </is>
      </c>
      <c r="D120" s="67" t="inlineStr">
        <is>
          <t>"≈ 18 … inputs, ≈ 14 outputs"</t>
        </is>
      </c>
      <c r="E120" s="66" t="inlineStr">
        <is>
          <t>4</t>
        </is>
      </c>
      <c r="F120" s="66" t="inlineStr">
        <is>
          <t>média</t>
        </is>
      </c>
      <c r="G120" s="67" t="inlineStr">
        <is>
          <t>Kext page is 52 slots (38 hardware + 14 SW-return).</t>
        </is>
      </c>
      <c r="H120" s="66" t="inlineStr">
        <is>
          <t>Resolvido</t>
        </is>
      </c>
      <c r="I120" s="70" t="inlineStr">
        <is>
          <t>Resolvido — via audit + bloco no doc</t>
        </is>
      </c>
      <c r="J120" s="70" t="inlineStr">
        <is>
          <t>Leitura do audit (asm/captura) propagada como bloco Correction; não re-derivada aqui (ver PROVENANCE-AUDIT.md).</t>
        </is>
      </c>
      <c r="K120" s="70" t="inlineStr">
        <is>
          <t>A2</t>
        </is>
      </c>
    </row>
    <row r="121" ht="22.35" customHeight="1" s="21">
      <c r="A121" s="65" t="inlineStr">
        <is>
          <t>AUD-A2A6-02</t>
        </is>
      </c>
      <c r="B121" s="67" t="inlineStr">
        <is>
          <t>A2 / A3 / A4 / A5 / A6 / README (sample)</t>
        </is>
      </c>
      <c r="C121" s="67" t="inlineStr">
        <is>
          <t>A2-P6:51</t>
        </is>
      </c>
      <c r="D121" s="67" t="inlineStr">
        <is>
          <t>"aux-send is unavailable above 48 kHz (standard BeBoB limitation)"</t>
        </is>
      </c>
      <c r="E121" s="66" t="inlineStr">
        <is>
          <t>2</t>
        </is>
      </c>
      <c r="F121" s="66" t="inlineStr">
        <is>
          <t>baixa</t>
        </is>
      </c>
      <c r="G121" s="67" t="inlineStr">
        <is>
          <t>No source.</t>
        </is>
      </c>
      <c r="H121" s="66" t="inlineStr">
        <is>
          <t>Resolvido</t>
        </is>
      </c>
      <c r="I121" s="70" t="inlineStr">
        <is>
          <t>Resolvido — verificado no asm</t>
        </is>
      </c>
      <c r="J121" s="70" t="inlineStr">
        <is>
          <t>PROVENANCE-RESOLUTIONS.md §R18 (CX1814Device::GetMaximumMixerSampleRate 0xe9e56 = 192000); bloco Correction inserido no doc.</t>
        </is>
      </c>
      <c r="K121" s="70" t="inlineStr">
        <is>
          <t>A2</t>
        </is>
      </c>
    </row>
    <row r="122" ht="22.35" customHeight="1" s="21">
      <c r="A122" s="65" t="inlineStr">
        <is>
          <t>AUD-A2A6-03</t>
        </is>
      </c>
      <c r="B122" s="67" t="inlineStr">
        <is>
          <t>A2 / A3 / A4 / A5 / A6 / README (sample)</t>
        </is>
      </c>
      <c r="C122" s="67" t="inlineStr">
        <is>
          <t>A2-P-ClockUI-encoding:48</t>
        </is>
      </c>
      <c r="D122" s="67" t="inlineStr">
        <is>
          <t>"Value 3 also calls SetDigitalInputActive(false)"</t>
        </is>
      </c>
      <c r="E122" s="66" t="inlineStr">
        <is>
          <t>4</t>
        </is>
      </c>
      <c r="F122" s="66" t="inlineStr">
        <is>
          <t>baixa</t>
        </is>
      </c>
      <c r="G122" s="67" t="inlineStr">
        <is>
          <t>Symbol name.</t>
        </is>
      </c>
      <c r="H122" s="66" t="inlineStr">
        <is>
          <t>Resolvido</t>
        </is>
      </c>
      <c r="I122" s="70" t="inlineStr">
        <is>
          <t>Resolvido — via audit + bloco no doc</t>
        </is>
      </c>
      <c r="J122" s="70" t="inlineStr">
        <is>
          <t>Leitura do audit (asm/captura) propagada como bloco Correction; não re-derivada aqui (ver PROVENANCE-AUDIT.md).</t>
        </is>
      </c>
      <c r="K122" s="70" t="inlineStr">
        <is>
          <t>A2</t>
        </is>
      </c>
    </row>
    <row r="123" ht="22.35" customHeight="1" s="21">
      <c r="A123" s="65" t="inlineStr">
        <is>
          <t>AUD-A2A6-04</t>
        </is>
      </c>
      <c r="B123" s="67" t="inlineStr">
        <is>
          <t>A2 / A3 / A4 / A5 / A6 / README (sample)</t>
        </is>
      </c>
      <c r="C123" s="67" t="inlineStr">
        <is>
          <t>A3-M4:23, 42</t>
        </is>
      </c>
      <c r="D123" s="67" t="inlineStr">
        <is>
          <t>timestamped ring at "+0x010" vs this[0x10]=ptr</t>
        </is>
      </c>
      <c r="E123" s="66" t="inlineStr">
        <is>
          <t>4</t>
        </is>
      </c>
      <c r="F123" s="66" t="inlineStr">
        <is>
          <t>baixa</t>
        </is>
      </c>
      <c r="G123" s="67" t="inlineStr">
        <is>
          <t>Ambiguous; it is the root of the C3/C5 split.</t>
        </is>
      </c>
      <c r="H123" s="66" t="inlineStr">
        <is>
          <t>Resolvido</t>
        </is>
      </c>
      <c r="I123" s="70" t="inlineStr">
        <is>
          <t>Resolvido — verificado no asm</t>
        </is>
      </c>
      <c r="J123" s="70" t="inlineStr">
        <is>
          <t>PROVENANCE-RESOLUTIONS.md §R11 (TKernelMIDIPort::Init 0x1e64a); bloco Correction inserido no doc.</t>
        </is>
      </c>
      <c r="K123" s="70" t="inlineStr">
        <is>
          <t>A3</t>
        </is>
      </c>
    </row>
    <row r="124" ht="22.35" customHeight="1" s="21">
      <c r="A124" s="65" t="inlineStr">
        <is>
          <t>AUD-A2A6-05</t>
        </is>
      </c>
      <c r="B124" s="67" t="inlineStr">
        <is>
          <t>A2 / A3 / A4 / A5 / A6 / README (sample)</t>
        </is>
      </c>
      <c r="C124" s="67" t="inlineStr">
        <is>
          <t>A4-H6:45</t>
        </is>
      </c>
      <c r="D124" s="67" t="inlineStr">
        <is>
          <t>"Likely a few hundred ms, acceptable"</t>
        </is>
      </c>
      <c r="E124" s="66" t="inlineStr">
        <is>
          <t>5</t>
        </is>
      </c>
      <c r="F124" s="66" t="inlineStr">
        <is>
          <t>baixa</t>
        </is>
      </c>
      <c r="G124" s="67" t="inlineStr">
        <is>
          <t>—</t>
        </is>
      </c>
      <c r="H124" s="66" t="inlineStr">
        <is>
          <t>Resolvido</t>
        </is>
      </c>
      <c r="I124" s="70" t="inlineStr">
        <is>
          <t>Resolvido — verificado no asm</t>
        </is>
      </c>
      <c r="J124" s="70" t="inlineStr">
        <is>
          <t>PROVENANCE-RESOLUTIONS.md §R15 (H6 status-UI command ends with &amp;; A5 firmware uart2 strings); bloco Correction inserido no doc.</t>
        </is>
      </c>
      <c r="K124" s="70" t="inlineStr">
        <is>
          <t>A4</t>
        </is>
      </c>
    </row>
    <row r="125" ht="22.35" customHeight="1" s="21">
      <c r="A125" s="65" t="inlineStr">
        <is>
          <t>AUD-A2A6-06</t>
        </is>
      </c>
      <c r="B125" s="67" t="inlineStr">
        <is>
          <t>A2 / A3 / A4 / A5 / A6 / README (sample)</t>
        </is>
      </c>
      <c r="C125" s="67" t="inlineStr">
        <is>
          <t>A5:110-111</t>
        </is>
      </c>
      <c r="D125" s="67" t="inlineStr">
        <is>
          <t>"UART1/UART2 (MIDI In/Out — likely)"</t>
        </is>
      </c>
      <c r="E125" s="66" t="inlineStr">
        <is>
          <t>1</t>
        </is>
      </c>
      <c r="F125" s="66" t="inlineStr">
        <is>
          <t>baixa</t>
        </is>
      </c>
      <c r="G125" s="67" t="inlineStr">
        <is>
          <t>—</t>
        </is>
      </c>
      <c r="H125" s="66" t="inlineStr">
        <is>
          <t>Resolvido</t>
        </is>
      </c>
      <c r="I125" s="70" t="inlineStr">
        <is>
          <t>Resolvido — verificado no asm</t>
        </is>
      </c>
      <c r="J125" s="70" t="inlineStr">
        <is>
          <t>PROVENANCE-RESOLUTIONS.md §R15 (H6 status-UI command ends with &amp;; A5 firmware uart2 strings); bloco Correction inserido no doc.</t>
        </is>
      </c>
      <c r="K125" s="70" t="inlineStr">
        <is>
          <t>A5</t>
        </is>
      </c>
    </row>
    <row r="126" ht="22.35" customHeight="1" s="21">
      <c r="A126" s="65" t="inlineStr">
        <is>
          <t>AUD-A2A6-07</t>
        </is>
      </c>
      <c r="B126" s="67" t="inlineStr">
        <is>
          <t>A2 / A3 / A4 / A5 / A6 / README (sample)</t>
        </is>
      </c>
      <c r="C126" s="67" t="inlineStr">
        <is>
          <t>A6:76</t>
        </is>
      </c>
      <c r="D126" s="67" t="inlineStr">
        <is>
          <t>"the NIB probably has an empty placeholder view"</t>
        </is>
      </c>
      <c r="E126" s="66" t="inlineStr">
        <is>
          <t>1</t>
        </is>
      </c>
      <c r="F126" s="66" t="inlineStr">
        <is>
          <t>baixa</t>
        </is>
      </c>
      <c r="G126" s="67" t="inlineStr">
        <is>
          <t>—</t>
        </is>
      </c>
      <c r="H126" s="66" t="inlineStr">
        <is>
          <t>Resolvido</t>
        </is>
      </c>
      <c r="I126" s="70" t="inlineStr">
        <is>
          <t>Resolvido — verificado no asm</t>
        </is>
      </c>
      <c r="J126" s="70" t="inlineStr">
        <is>
          <t>PROVENANCE-RESOLUTIONS.md §R19 (A6 NIB object graph); bloco Correction inserido no doc.</t>
        </is>
      </c>
      <c r="K126" s="70" t="inlineStr">
        <is>
          <t>A6</t>
        </is>
      </c>
    </row>
    <row r="127" ht="22.35" customHeight="1" s="21">
      <c r="A127" s="65" t="inlineStr">
        <is>
          <t>AUD-A2A6-08</t>
        </is>
      </c>
      <c r="B127" s="67" t="inlineStr">
        <is>
          <t>A2 / A3 / A4 / A5 / A6 / README (sample)</t>
        </is>
      </c>
      <c r="C127" s="67" t="inlineStr">
        <is>
          <t>system-map/README:47</t>
        </is>
      </c>
      <c r="D127" s="67" t="inlineStr">
        <is>
          <t>"12-byte HSCI envelope per-byte"</t>
        </is>
      </c>
      <c r="E127" s="66" t="inlineStr">
        <is>
          <t>4</t>
        </is>
      </c>
      <c r="F127" s="66" t="inlineStr">
        <is>
          <t>baixa</t>
        </is>
      </c>
      <c r="G127" s="67" t="inlineStr">
        <is>
          <t>16 bytes.</t>
        </is>
      </c>
      <c r="H127" s="66" t="inlineStr">
        <is>
          <t>Resolvido</t>
        </is>
      </c>
      <c r="I127" s="70" t="inlineStr">
        <is>
          <t>Resolvido — via audit + bloco no doc</t>
        </is>
      </c>
      <c r="J127" s="70" t="inlineStr">
        <is>
          <t>Leitura do audit (asm/captura) propagada como bloco Correction; não re-derivada aqui (ver PROVENANCE-AUDIT.md).</t>
        </is>
      </c>
      <c r="K127" s="70" t="inlineStr">
        <is>
          <t>Geral</t>
        </is>
      </c>
    </row>
    <row r="128"/>
    <row r="129" ht="15" customHeight="1" s="21">
      <c r="A129" s="61" t="inlineStr">
        <is>
          <t>Fonte: PROVENANCE-AUDIT.md §Per-file flags (2026-10-14). Categoria: 1 inferência como fato · 2 só fonte de terceiros · 3 só decompile · 4 citação não confere / binário contradiz · 5 número sem fonte.</t>
        </is>
      </c>
    </row>
    <row r="130">
      <c r="A130" s="61" t="inlineStr">
        <is>
          <t>AUD-QMB-01</t>
        </is>
      </c>
      <c r="B130" s="51" t="inlineStr">
        <is>
          <t>A1-ghidra/Q-DCL, C4, Q1a</t>
        </is>
      </c>
      <c r="C130" s="51" t="inlineStr">
        <is>
          <t>Q-DCL topologia; C4 §3; Q1a</t>
        </is>
      </c>
      <c r="D130" s="51" t="inlineStr">
        <is>
          <t>'SetTagSyncBits(1,0) uma vez, no último segmento TX'</t>
        </is>
      </c>
      <c r="E130" s="51" t="inlineStr">
        <is>
          <t>4 (citação/offset)</t>
        </is>
      </c>
      <c r="F130" s="51" t="inlineStr">
        <is>
          <t>Alta</t>
        </is>
      </c>
      <c r="G130" s="51" t="inlineStr">
        <is>
          <t>asm BuildTransmittingDCLProgram 0x25b50..0x25b59</t>
        </is>
      </c>
      <c r="H130" s="51" t="inlineStr">
        <is>
          <t>Resolvido</t>
        </is>
      </c>
      <c r="I130" s="51" t="inlineStr">
        <is>
          <t>Corrigido: vai no primeiro primer de cada banco (isLast=(primer==0)). Blocos Correction em Q-DCL, C4, Q1a, memória.</t>
        </is>
      </c>
      <c r="J130" s="51" t="inlineStr">
        <is>
          <t>Q-MB-dcl-callbacks.md §7; R41</t>
        </is>
      </c>
      <c r="K130" s="51" t="inlineStr">
        <is>
          <t>A1</t>
        </is>
      </c>
    </row>
    <row r="131">
      <c r="A131" s="61" t="inlineStr">
        <is>
          <t>AUD-QMB-02</t>
        </is>
      </c>
      <c r="B131" s="51" t="inlineStr">
        <is>
          <t>C2-sync-path.md, C4</t>
        </is>
      </c>
      <c r="C131" s="51" t="inlineStr">
        <is>
          <t>C2 §6.1; C4 §11</t>
        </is>
      </c>
      <c r="D131" s="51" t="inlineStr">
        <is>
          <t>'Aberto: quem chama takeTimeStamp'</t>
        </is>
      </c>
      <c r="E131" s="51" t="inlineStr">
        <is>
          <t>1 (não verificado)</t>
        </is>
      </c>
      <c r="F131" s="51" t="inlineStr">
        <is>
          <t>Média</t>
        </is>
      </c>
      <c r="G131" s="51" t="inlineStr">
        <is>
          <t>xrefs de takeTimeStamp / callback TX</t>
        </is>
      </c>
      <c r="H131" s="51" t="inlineStr">
        <is>
          <t>Resolvido</t>
        </is>
      </c>
      <c r="I131" s="51" t="inlineStr">
        <is>
          <t>Callback TX do banco 3 a partir da volta 3 (vt[0xae0] no engine); RX não chama.</t>
        </is>
      </c>
      <c r="J131" s="51" t="inlineStr">
        <is>
          <t>Q-MB-dcl-callbacks.md §3; R41</t>
        </is>
      </c>
      <c r="K131" s="51" t="inlineStr">
        <is>
          <t>C2</t>
        </is>
      </c>
    </row>
    <row r="132">
      <c r="A132" s="61" t="inlineStr">
        <is>
          <t>AUD-QMB-03</t>
        </is>
      </c>
      <c r="B132" s="51" t="inlineStr">
        <is>
          <t>A1-ghidra/Q2</t>
        </is>
      </c>
      <c r="C132" s="51" t="inlineStr">
        <is>
          <t>Q2: OutputDCLCallback @0x26269</t>
        </is>
      </c>
      <c r="D132" s="51" t="inlineStr">
        <is>
          <t>'OutputDCLCallback @0x26269'</t>
        </is>
      </c>
      <c r="E132" s="51" t="inlineStr">
        <is>
          <t>4 (citação/offset)</t>
        </is>
      </c>
      <c r="F132" s="51" t="inlineStr">
        <is>
          <t>Baixa</t>
        </is>
      </c>
      <c r="G132" s="51" t="inlineStr">
        <is>
          <t>functions.tsv</t>
        </is>
      </c>
      <c r="H132" s="51" t="inlineStr">
        <is>
          <t>Resolvido</t>
        </is>
      </c>
      <c r="I132" s="51" t="inlineStr">
        <is>
          <t>0x26269 era número de linha do mafw.asm; a função está em 0x263c2.</t>
        </is>
      </c>
      <c r="J132" s="51" t="inlineStr">
        <is>
          <t>Q-MB-dcl-callbacks.md (nota de endereço); R41</t>
        </is>
      </c>
      <c r="K132" s="51" t="inlineStr">
        <is>
          <t>A1</t>
        </is>
      </c>
    </row>
    <row r="133">
      <c r="A133" s="61" t="inlineStr">
        <is>
          <t>AUD-QMB-04</t>
        </is>
      </c>
      <c r="B133" s="51" t="inlineStr">
        <is>
          <t>C2 §7 / A1-Q3a / R1</t>
        </is>
      </c>
      <c r="C133" s="51" t="inlineStr">
        <is>
          <t>C2 §7 passos 1 e 5</t>
        </is>
      </c>
      <c r="D133" s="51" t="inlineStr">
        <is>
          <t>'TX program start → 500 ms → INPUT … RX program start'</t>
        </is>
      </c>
      <c r="E133" s="51" t="inlineStr">
        <is>
          <t>2 (reinterpretação possível)</t>
        </is>
      </c>
      <c r="F133" s="51" t="inlineStr">
        <is>
          <t>Alta</t>
        </is>
      </c>
      <c r="G133" s="51" t="inlineStr">
        <is>
          <t>decompilar FWEngine2::StartAudio vt[0xd08]/[0xd10] e vt[0x128] dos programas</t>
        </is>
      </c>
      <c r="H133" s="51" t="inlineStr">
        <is>
          <t>Aberto</t>
        </is>
      </c>
      <c r="I133" s="51" t="inlineStr">
        <is>
          <t>vt[0x120] chamado por ConnectAudioMIDIChannels é Connect(canal); o 'start' pode ser outro método. Rotulado como hipótese em C2 e Q3a.</t>
        </is>
      </c>
      <c r="J133" s="51" t="inlineStr">
        <is>
          <t>Q-MB §7 item 5; sheet item A1-Q3a.5</t>
        </is>
      </c>
      <c r="K133" s="51" t="inlineStr">
        <is>
          <t>C2</t>
        </is>
      </c>
    </row>
    <row r="134">
      <c r="A134" s="61" t="inlineStr">
        <is>
          <t>AUD-QMB-05</t>
        </is>
      </c>
      <c r="B134" s="51" t="inlineStr">
        <is>
          <t>Q7 / CLAUDE.md</t>
        </is>
      </c>
      <c r="C134" s="51" t="inlineStr">
        <is>
          <t>Q7 resposta em uma linha; CLAUDE.md 'class chain' item 1</t>
        </is>
      </c>
      <c r="D134" s="51" t="inlineStr">
        <is>
          <t>'FWMetaNub herda de IOFireWireUnit'</t>
        </is>
      </c>
      <c r="E134" s="51" t="inlineStr">
        <is>
          <t>4 (citação/offset)</t>
        </is>
      </c>
      <c r="F134" s="51" t="inlineStr">
        <is>
          <t>Média</t>
        </is>
      </c>
      <c r="G134" s="51" t="inlineStr">
        <is>
          <t>asm do construtor 0x1d1b4</t>
        </is>
      </c>
      <c r="H134" s="51" t="inlineStr">
        <is>
          <t>Resolvido</t>
        </is>
      </c>
      <c r="I134" s="51" t="inlineStr">
        <is>
          <t>Deriva de IOService (provider convertido para IOFireWireNub).</t>
        </is>
      </c>
      <c r="J134" s="51" t="inlineStr">
        <is>
          <t>Q7 Correction; CLAUDE.md; R40</t>
        </is>
      </c>
      <c r="K134" s="51" t="inlineStr">
        <is>
          <t>A1</t>
        </is>
      </c>
    </row>
  </sheetData>
  <autoFilter ref="A1:H127"/>
  <conditionalFormatting sqref="F2:F127">
    <cfRule type="cellIs" rank="0" priority="2" equalAverage="0" operator="equal" aboveAverage="0" dxfId="6" text="" percent="0" bottom="0">
      <formula>"alta"</formula>
    </cfRule>
    <cfRule type="cellIs" rank="0" priority="3" equalAverage="0" operator="equal" aboveAverage="0" dxfId="7" text="" percent="0" bottom="0">
      <formula>"média"</formula>
    </cfRule>
  </conditionalFormatting>
  <conditionalFormatting sqref="H2:H129">
    <cfRule type="cellIs" priority="3" operator="equal" dxfId="9">
      <formula>"Resolvido"</formula>
    </cfRule>
    <cfRule type="cellIs" priority="4" operator="equal" dxfId="10">
      <formula>"Rotulado"</formula>
    </cfRule>
    <cfRule type="cellIs" priority="5" operator="equal" dxfId="11">
      <formula>"Aberto"</formula>
    </cfRule>
    <cfRule type="cellIs" priority="6" operator="equal" dxfId="9">
      <formula>"Resolvido"</formula>
    </cfRule>
    <cfRule type="cellIs" priority="7" operator="equal" dxfId="10">
      <formula>"Rotulado"</formula>
    </cfRule>
    <cfRule type="cellIs" priority="8" operator="equal" dxfId="11">
      <formula>"Aberto"</formula>
    </cfRule>
    <cfRule type="cellIs" priority="9" operator="equal" dxfId="9">
      <formula>"Resolvido"</formula>
    </cfRule>
    <cfRule type="cellIs" priority="10" operator="equal" dxfId="10">
      <formula>"Rotulado"</formula>
    </cfRule>
    <cfRule type="cellIs" priority="11" operator="equal" dxfId="11">
      <formula>"Aberto"</formula>
    </cfRule>
    <cfRule type="cellIs" priority="12" operator="equal" dxfId="9">
      <formula>"Resolvido"</formula>
    </cfRule>
    <cfRule type="cellIs" priority="13" operator="equal" dxfId="10">
      <formula>"Rotulado"</formula>
    </cfRule>
    <cfRule type="cellIs" priority="14" operator="equal" dxfId="11">
      <formula>"Aberto"</formula>
    </cfRule>
    <cfRule type="cellIs" priority="15" operator="equal" dxfId="9">
      <formula>"Resolvido"</formula>
    </cfRule>
    <cfRule type="cellIs" priority="16" operator="equal" dxfId="10">
      <formula>"Rotulado"</formula>
    </cfRule>
    <cfRule type="cellIs" priority="17" operator="equal" dxfId="11">
      <formula>"Aberto"</formula>
    </cfRule>
    <cfRule type="cellIs" priority="18" operator="equal" dxfId="9">
      <formula>"Resolvido"</formula>
    </cfRule>
    <cfRule type="cellIs" priority="19" operator="equal" dxfId="10">
      <formula>"Rotulado"</formula>
    </cfRule>
    <cfRule type="cellIs" priority="20" operator="equal" dxfId="11">
      <formula>"Aberto"</formula>
    </cfRule>
    <cfRule type="cellIs" priority="21" operator="equal" dxfId="9">
      <formula>"Resolvido"</formula>
    </cfRule>
    <cfRule type="cellIs" priority="22" operator="equal" dxfId="10">
      <formula>"Rotulado"</formula>
    </cfRule>
    <cfRule type="cellIs" priority="23" operator="equal" dxfId="11">
      <formula>"Aberto"</formula>
    </cfRule>
    <cfRule type="cellIs" priority="24" operator="equal" dxfId="9">
      <formula>"Resolvido"</formula>
    </cfRule>
    <cfRule type="cellIs" priority="25" operator="equal" dxfId="10">
      <formula>"Rotulado"</formula>
    </cfRule>
    <cfRule type="cellIs" priority="26" operator="equal" dxfId="11">
      <formula>"Aberto"</formula>
    </cfRule>
    <cfRule type="cellIs" priority="27" operator="equal" dxfId="9">
      <formula>"Resolvido"</formula>
    </cfRule>
    <cfRule type="cellIs" priority="28" operator="equal" dxfId="10">
      <formula>"Rotulado"</formula>
    </cfRule>
    <cfRule type="cellIs" priority="29" operator="equal" dxfId="11">
      <formula>"Aberto"</formula>
    </cfRule>
    <cfRule type="cellIs" priority="30" operator="equal" dxfId="9">
      <formula>"Resolvido"</formula>
    </cfRule>
    <cfRule type="cellIs" priority="31" operator="equal" dxfId="10">
      <formula>"Rotulado"</formula>
    </cfRule>
    <cfRule type="cellIs" priority="32" operator="equal" dxfId="11">
      <formula>"Aberto"</formula>
    </cfRule>
    <cfRule type="cellIs" priority="33" operator="equal" dxfId="9">
      <formula>"Resolvido"</formula>
    </cfRule>
    <cfRule type="cellIs" priority="34" operator="equal" dxfId="10">
      <formula>"Rotulado"</formula>
    </cfRule>
    <cfRule type="cellIs" priority="35" operator="equal" dxfId="11">
      <formula>"Aberto"</formula>
    </cfRule>
    <cfRule type="cellIs" priority="36" operator="equal" dxfId="9">
      <formula>"Resolvido"</formula>
    </cfRule>
    <cfRule type="cellIs" priority="37" operator="equal" dxfId="10">
      <formula>"Rotulado"</formula>
    </cfRule>
    <cfRule type="cellIs" priority="38" operator="equal" dxfId="11">
      <formula>"Aberto"</formula>
    </cfRule>
    <cfRule type="cellIs" priority="39" operator="equal" dxfId="9">
      <formula>"Resolvido"</formula>
    </cfRule>
    <cfRule type="cellIs" priority="40" operator="equal" dxfId="10">
      <formula>"Rotulado"</formula>
    </cfRule>
    <cfRule type="cellIs" priority="41" operator="equal" dxfId="11">
      <formula>"Aberto"</formula>
    </cfRule>
    <cfRule type="cellIs" priority="42" operator="equal" dxfId="9">
      <formula>"Resolvido"</formula>
    </cfRule>
    <cfRule type="cellIs" priority="43" operator="equal" dxfId="10">
      <formula>"Rotulado"</formula>
    </cfRule>
    <cfRule type="cellIs" priority="44" operator="equal" dxfId="11">
      <formula>"Aberto"</formula>
    </cfRule>
    <cfRule type="cellIs" priority="45" operator="equal" dxfId="9">
      <formula>"Resolvido"</formula>
    </cfRule>
    <cfRule type="cellIs" priority="46" operator="equal" dxfId="10">
      <formula>"Rotulado"</formula>
    </cfRule>
    <cfRule type="cellIs" priority="47" operator="equal" dxfId="11">
      <formula>"Aberto"</formula>
    </cfRule>
    <cfRule type="cellIs" priority="48" operator="equal" dxfId="9">
      <formula>"Resolvido"</formula>
    </cfRule>
    <cfRule type="cellIs" priority="49" operator="equal" dxfId="10">
      <formula>"Rotulado"</formula>
    </cfRule>
    <cfRule type="cellIs" priority="50" operator="equal" dxfId="11">
      <formula>"Aberto"</formula>
    </cfRule>
    <cfRule type="cellIs" priority="51" operator="equal" dxfId="9">
      <formula>"Resolvido"</formula>
    </cfRule>
    <cfRule type="cellIs" priority="52" operator="equal" dxfId="10">
      <formula>"Rotulado"</formula>
    </cfRule>
    <cfRule type="cellIs" priority="53" operator="equal" dxfId="11">
      <formula>"Aberto"</formula>
    </cfRule>
    <cfRule type="cellIs" priority="54" operator="equal" dxfId="9">
      <formula>"Resolvido"</formula>
    </cfRule>
    <cfRule type="cellIs" priority="55" operator="equal" dxfId="10">
      <formula>"Rotulado"</formula>
    </cfRule>
    <cfRule type="cellIs" priority="56" operator="equal" dxfId="11">
      <formula>"Aberto"</formula>
    </cfRule>
    <cfRule type="cellIs" priority="57" operator="equal" dxfId="9">
      <formula>"Resolvido"</formula>
    </cfRule>
    <cfRule type="cellIs" priority="58" operator="equal" dxfId="10">
      <formula>"Rotulado"</formula>
    </cfRule>
    <cfRule type="cellIs" priority="59" operator="equal" dxfId="11">
      <formula>"Aberto"</formula>
    </cfRule>
    <cfRule type="cellIs" priority="60" operator="equal" dxfId="9">
      <formula>"Resolvido"</formula>
    </cfRule>
    <cfRule type="cellIs" priority="61" operator="equal" dxfId="10">
      <formula>"Rotulado"</formula>
    </cfRule>
    <cfRule type="cellIs" priority="62" operator="equal" dxfId="11">
      <formula>"Aberto"</formula>
    </cfRule>
    <cfRule type="cellIs" priority="63" operator="equal" dxfId="9">
      <formula>"Resolvido"</formula>
    </cfRule>
    <cfRule type="cellIs" priority="64" operator="equal" dxfId="10">
      <formula>"Rotulado"</formula>
    </cfRule>
    <cfRule type="cellIs" priority="65" operator="equal" dxfId="11">
      <formula>"Aberto"</formula>
    </cfRule>
  </conditionalFormatting>
  <dataValidations count="1">
    <dataValidation sqref="H2:H127" showDropDown="0" showInputMessage="0" showErrorMessage="0" allowBlank="1" type="list" errorStyle="stop" operator="between">
      <formula1>"Pendente,Corrigido,OK,Não procede"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51" min="1" max="2"/>
    <col width="10" customWidth="1" style="51" min="3" max="3"/>
    <col width="25" customWidth="1" style="51" min="4" max="6"/>
  </cols>
  <sheetData>
    <row r="1" ht="15" customHeight="1" s="21">
      <c r="A1" s="71" t="inlineStr">
        <is>
          <t>Legenda e método de pontuação</t>
        </is>
      </c>
    </row>
    <row r="2"/>
    <row r="3" ht="15" customHeight="1" s="21">
      <c r="A3" s="59" t="inlineStr">
        <is>
          <t>Pesos da nota de confiança (edite os valores azuis; a coluna L da aba Itens recalcula)</t>
        </is>
      </c>
    </row>
    <row r="4" ht="15" customHeight="1" s="21">
      <c r="A4" s="62" t="inlineStr">
        <is>
          <t>Byte-level confirmado = Sim</t>
        </is>
      </c>
      <c r="C4" s="72" t="n">
        <v>3</v>
      </c>
    </row>
    <row r="5" ht="15" customHeight="1" s="21">
      <c r="A5" s="62" t="inlineStr">
        <is>
          <t>Byte-level confirmado = Parcial</t>
        </is>
      </c>
      <c r="C5" s="72" t="n">
        <v>1.5</v>
      </c>
    </row>
    <row r="6" ht="15" customHeight="1" s="21">
      <c r="A6" s="62" t="inlineStr">
        <is>
          <t>Hardware live = Sim</t>
        </is>
      </c>
      <c r="C6" s="72" t="n">
        <v>3</v>
      </c>
    </row>
    <row r="7" ht="15" customHeight="1" s="21">
      <c r="A7" s="62" t="inlineStr">
        <is>
          <t>Hardware live = Parcial</t>
        </is>
      </c>
      <c r="C7" s="72" t="n">
        <v>1.5</v>
      </c>
    </row>
    <row r="8" ht="15" customHeight="1" s="21">
      <c r="A8" s="62" t="inlineStr">
        <is>
          <t>Ferramenta = otool + Ghidra</t>
        </is>
      </c>
      <c r="C8" s="72" t="n">
        <v>2</v>
      </c>
    </row>
    <row r="9" ht="15" customHeight="1" s="21">
      <c r="A9" s="62" t="inlineStr">
        <is>
          <t>Ferramenta = otool, Ghidra ou Outro binário</t>
        </is>
      </c>
      <c r="C9" s="72" t="n">
        <v>1</v>
      </c>
    </row>
    <row r="10" ht="15" customHeight="1" s="21">
      <c r="A10" s="62" t="inlineStr">
        <is>
          <t>Por fonte adicional (a partir da 2ª)</t>
        </is>
      </c>
      <c r="C10" s="72" t="n">
        <v>1</v>
      </c>
    </row>
    <row r="11" ht="15" customHeight="1" s="21">
      <c r="A11" s="62" t="inlineStr">
        <is>
          <t>Máximo de pontos por cruzamento</t>
        </is>
      </c>
      <c r="C11" s="72" t="n">
        <v>2</v>
      </c>
    </row>
    <row r="12" ht="15" customHeight="1" s="21">
      <c r="A12" s="62" t="inlineStr">
        <is>
          <t>Teto se Especulativo = Sim</t>
        </is>
      </c>
      <c r="C12" s="72" t="n">
        <v>3</v>
      </c>
    </row>
    <row r="13" ht="15" customHeight="1" s="21">
      <c r="A13" s="62" t="inlineStr">
        <is>
          <t>Teto se Especulativo = Parcial</t>
        </is>
      </c>
      <c r="C13" s="72" t="n">
        <v>6</v>
      </c>
    </row>
    <row r="14"/>
    <row r="15"/>
    <row r="16" ht="15" customHeight="1" s="21">
      <c r="A16" s="59" t="inlineStr">
        <is>
          <t>Fórmula</t>
        </is>
      </c>
    </row>
    <row r="17" ht="42" customHeight="1" s="21">
      <c r="A17" s="73" t="inlineStr">
        <is>
          <t>Base = byte + live + ferramenta + MIN(máx. cruzamento, (Nº de fontes − 1) × peso por fonte), limitada a 10. Depois aplica o teto do Especulativo. A nota mede o quanto o item está ancorado no binário v1.11.x e no hardware, não o quanto ele importa.</t>
        </is>
      </c>
    </row>
    <row r="18"/>
    <row r="19" ht="15" customHeight="1" s="21">
      <c r="A19" s="59" t="inlineStr">
        <is>
          <t>Colunas</t>
        </is>
      </c>
    </row>
    <row r="20" ht="30" customHeight="1" s="21">
      <c r="A20" s="59" t="inlineStr">
        <is>
          <t>ID</t>
        </is>
      </c>
      <c r="B20" s="74" t="inlineStr">
        <is>
          <t>Código do item, no mesmo padrão dos .md (A1-Q5.4 = Parte A1, doc Q5, item 4; B5.3 = B5, item 3; STATE-KG = 'Known-good primitives' do STATE.md).</t>
        </is>
      </c>
    </row>
    <row r="21" ht="30" customHeight="1" s="21">
      <c r="A21" s="59" t="inlineStr">
        <is>
          <t>Byte-level confirmado</t>
        </is>
      </c>
      <c r="B21" s="74" t="inlineStr">
        <is>
          <t>Sim = lido no nível de instrução ou byte (asm, bytes da fatia, vtable, plist, header do SDK). Parcial = decompile Ghidra ou leitura indireta. Não = sem leitura do binário.</t>
        </is>
      </c>
    </row>
    <row r="22" ht="30" customHeight="1" s="21">
      <c r="A22" s="59" t="inlineStr">
        <is>
          <t>Hardware live</t>
        </is>
      </c>
      <c r="B22" s="74" t="inlineStr">
        <is>
          <t>Sim = observado em hardware real (capturas B5 no SL v1.9, logs de pânico do build PC, experimentos registrados). Parcial = observação indireta ou só do clone antigo.</t>
        </is>
      </c>
    </row>
    <row r="23" ht="30" customHeight="1" s="21">
      <c r="A23" s="59" t="inlineStr">
        <is>
          <t>Ferramenta</t>
        </is>
      </c>
      <c r="B23" s="74" t="inlineStr">
        <is>
          <t>otool + Ghidra / otool / Ghidra / Outro binário (nm, plist, bytes via python, SDK) / Nenhum.</t>
        </is>
      </c>
    </row>
    <row r="24" ht="30" customHeight="1" s="21">
      <c r="A24" s="59" t="inlineStr">
        <is>
          <t>Especulativo</t>
        </is>
      </c>
      <c r="B24" s="74" t="inlineStr">
        <is>
          <t>Sim = hipótese sem prova; Parcial = parte do item é inferência.</t>
        </is>
      </c>
    </row>
    <row r="25" ht="30" customHeight="1" s="21">
      <c r="A25" s="59" t="inlineStr">
        <is>
          <t>Fontes / cruzamentos</t>
        </is>
      </c>
      <c r="B25" s="74" t="inlineStr">
        <is>
          <t>Lista separada por ';' de evidências independentes. A coluna 'Nº de fontes' conta automaticamente.</t>
        </is>
      </c>
    </row>
    <row r="26" ht="30" customHeight="1" s="21">
      <c r="A26" s="59" t="inlineStr">
        <is>
          <t>Status documental</t>
        </is>
      </c>
      <c r="B26" s="74" t="inlineStr">
        <is>
          <t>Consistente / Corrigido (com bloco Correction) / Correção pendente (audit: algum .md ainda tem a afirmação errada) / Aberto / Não auditado.</t>
        </is>
      </c>
    </row>
    <row r="27" ht="30" customHeight="1" s="21">
      <c r="A27" s="59" t="inlineStr">
        <is>
          <t>Flags do audit</t>
        </is>
      </c>
      <c r="B27" s="74" t="inlineStr">
        <is>
          <t>Linhas citadas no PROVENANCE-AUDIT.md; detalhe na aba Flags_auditoria.</t>
        </is>
      </c>
    </row>
    <row r="28"/>
    <row r="29" ht="15" customHeight="1" s="21">
      <c r="A29" s="59" t="inlineStr">
        <is>
          <t>Fontes</t>
        </is>
      </c>
    </row>
    <row r="30" ht="42" customHeight="1" s="21">
      <c r="A30" s="73" t="inlineStr">
        <is>
          <t>PROVENANCE-AUDIT.md (2026-10-14); docs/system-map/**; otool-exports/mafw.asm; ghidra-exports/decomp/; B5-sl-dtrace-truth/captures/ (SL v1.9); docs/system-map/build-pc-panics/; _refs/ (FFADO, snd-bebob, Rust, macfw). 'v1.9' = driver no Mac do SL; o binário de referência é v1.11.x.</t>
        </is>
      </c>
    </row>
    <row r="31"/>
    <row r="32">
      <c r="A32" s="51" t="inlineStr">
        <is>
          <t>Aba Build</t>
        </is>
      </c>
      <c r="B32" s="51" t="inlineStr">
        <is>
          <t>Uma linha por tarefa do docs/BUILD-PLAN.md (P pré-trabalho, M kext, H helper, PN painel, IN validação/instalador). Status: Não iniciado / Autorizado (pré-trabalho) / Em andamento / Concluído / Aguarda aprovação do plano. O Painel conta por Pacote (col. B) e Status (col. F).</t>
        </is>
      </c>
    </row>
  </sheetData>
  <mergeCells count="10">
    <mergeCell ref="B21:F21"/>
    <mergeCell ref="B24:F24"/>
    <mergeCell ref="B20:F20"/>
    <mergeCell ref="B25:F25"/>
    <mergeCell ref="A17:F17"/>
    <mergeCell ref="B23:F23"/>
    <mergeCell ref="B22:F22"/>
    <mergeCell ref="A30:F30"/>
    <mergeCell ref="B26:F26"/>
    <mergeCell ref="B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2026-10-14T13:36:08Z</dcterms:created>
  <dcterms:modified xsi:type="dcterms:W3CDTF">2026-10-21T20:57:57Z</dcterms:modified>
  <cp:revision>0</cp:revision>
</cp:coreProperties>
</file>