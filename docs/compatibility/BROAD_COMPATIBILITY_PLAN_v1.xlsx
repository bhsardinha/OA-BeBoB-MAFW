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eme/theme1.xml" ContentType="application/vnd.openxmlformats-officedocument.theme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drawing4.xml" ContentType="application/vnd.openxmlformats-officedocument.drawing+xml"/>
  <Override PartName="/xl/drawings/drawing2.xml" ContentType="application/vnd.openxmlformats-officedocument.drawing+xml"/>
  <Override PartName="/xl/drawings/drawing5.xml" ContentType="application/vnd.openxmlformats-officedocument.drawing+xml"/>
  <Override PartName="/xl/drawings/drawing3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shboard" sheetId="1" state="visible" r:id="rId3"/>
    <sheet name="Tasks" sheetId="2" state="visible" r:id="rId4"/>
    <sheet name="Decisions" sheetId="3" state="visible" r:id="rId5"/>
    <sheet name="OS_Matrix" sheetId="4" state="visible" r:id="rId6"/>
    <sheet name="Feature_by_OS" sheetId="5" state="visible" r:id="rId7"/>
    <sheet name="Components" sheetId="6" state="visible" r:id="rId8"/>
    <sheet name="Evidence" sheetId="7" state="visible" r:id="rId9"/>
    <sheet name="Risks" sheetId="8" state="visible" r:id="rId10"/>
    <sheet name="Legend" sheetId="9" state="visible" r:id="rId11"/>
  </sheets>
  <definedNames>
    <definedName function="false" hidden="true" localSheetId="5" name="_xlnm._FilterDatabase" vbProcedure="false">Components!$A$1:$H$9</definedName>
    <definedName function="false" hidden="true" localSheetId="2" name="_xlnm._FilterDatabase" vbProcedure="false">Decisions!$A$1:$H$11</definedName>
    <definedName function="false" hidden="true" localSheetId="6" name="_xlnm._FilterDatabase" vbProcedure="false">Evidence!$A$1:$G$31</definedName>
    <definedName function="false" hidden="true" localSheetId="4" name="_xlnm._FilterDatabase" vbProcedure="false">Feature_by_OS!$A$1:$G$17</definedName>
    <definedName function="false" hidden="true" localSheetId="3" name="_xlnm._FilterDatabase" vbProcedure="false">OS_Matrix!$A$1:$Q$18</definedName>
    <definedName function="false" hidden="true" localSheetId="7" name="_xlnm._FilterDatabase" vbProcedure="false">Risks!$A$1:$G$13</definedName>
    <definedName function="false" hidden="true" localSheetId="1" name="_xlnm._FilterDatabase" vbProcedure="false">Tasks!$A$1:$L$34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plan</author>
  </authors>
  <commentList>
    <comment ref="D14" authorId="0">
      <text>
        <r>
          <rPr>
            <sz val="10"/>
            <rFont val="Arial"/>
            <family val="2"/>
          </rPr>
          <t xml:space="preserve">Sum of Tasks!I (min sessions) for this band. Edit the inputs in Tasks, not here.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5</xdr:rowOff>
              </xdr:from>
              <xdr:to>
                <xdr:col>1</xdr:col>
                <xdr:colOff>-29</xdr:colOff>
                <xdr:row>4</xdr:row>
                <xdr:rowOff>1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<sst xmlns="http://schemas.openxmlformats.org/spreadsheetml/2006/main" count="1273" uniqueCount="726">
  <si>
    <t xml:space="preserve">Broad compatibility plan v1 - OpenAudio BeBoB MAFW, Mac OS X 10.6.8 to macOS 15</t>
  </si>
  <si>
    <t xml:space="preserve">2026-10-21 - proposal, not approved; base package 0.2.2 (driver 0.2.0, panel 1.3); plan: BROAD_COMPATIBILITY_PLAN_v1.md</t>
  </si>
  <si>
    <t xml:space="preserve">Short answer</t>
  </si>
  <si>
    <t xml:space="preserve">One package / one version for 10.6.8-15</t>
  </si>
  <si>
    <t xml:space="preserve">Yes, feasible (no checked fact forbids it)</t>
  </si>
  <si>
    <t xml:space="preserve">One binary per component</t>
  </si>
  <si>
    <t xml:space="preserve">No: kernel symbol generations (E-1, E-2), arm64e kext (E-6), Swift floor 10.9 (E-11)</t>
  </si>
  <si>
    <t xml:space="preserve">Kernel-extension builds in the package</t>
  </si>
  <si>
    <t xml:space="preserve">2: Legacy (i386 + x86_64, 10.6 SDK) and Main (x86_64 10.13 SDK + arm64e 15 SDK in one file); 1 if U-12 holds</t>
  </si>
  <si>
    <t xml:space="preserve">As separate downloads</t>
  </si>
  <si>
    <t xml:space="preserve">3 editions: Legacy 10.6.8-10.8.5, Classic 10.9-10.15, Modern 11-15 (Intel + Apple Silicon)</t>
  </si>
  <si>
    <t xml:space="preserve">What older OSes lose</t>
  </si>
  <si>
    <t xml:space="preserve">No audio / mixer / MIDI function expected; panel cosmetics on 10.6-10.8 (Feature_by_OS), or the whole panel if DEC-4 = c</t>
  </si>
  <si>
    <t xml:space="preserve">Recommendation</t>
  </si>
  <si>
    <t xml:space="preserve">Stage it: S1 (Intel 10.9-15), then S2 (Apple Silicon, needs hardware), S3 (10.6.8-10.8.5) only if wanted</t>
  </si>
  <si>
    <t xml:space="preserve">Effort by band (sessions; refreshes from Tasks)</t>
  </si>
  <si>
    <t xml:space="preserve">Band</t>
  </si>
  <si>
    <t xml:space="preserve">Meaning</t>
  </si>
  <si>
    <t xml:space="preserve">Tasks</t>
  </si>
  <si>
    <t xml:space="preserve">Min</t>
  </si>
  <si>
    <t xml:space="preserve">Max</t>
  </si>
  <si>
    <t xml:space="preserve">Done / partly</t>
  </si>
  <si>
    <t xml:space="preserve">C</t>
  </si>
  <si>
    <t xml:space="preserve">Common</t>
  </si>
  <si>
    <t xml:space="preserve">M</t>
  </si>
  <si>
    <t xml:space="preserve">Intel 10.9-15</t>
  </si>
  <si>
    <t xml:space="preserve">AS</t>
  </si>
  <si>
    <t xml:space="preserve">Apple Silicon 11-15</t>
  </si>
  <si>
    <t xml:space="preserve">L</t>
  </si>
  <si>
    <t xml:space="preserve">10.6.8-10.8.5</t>
  </si>
  <si>
    <t xml:space="preserve">Total</t>
  </si>
  <si>
    <t xml:space="preserve">Effort by scenario (sessions)</t>
  </si>
  <si>
    <t xml:space="preserve">Scenario</t>
  </si>
  <si>
    <t xml:space="preserve">Covers</t>
  </si>
  <si>
    <t xml:space="preserve">Bands</t>
  </si>
  <si>
    <t xml:space="preserve">S1</t>
  </si>
  <si>
    <t xml:space="preserve">C + M</t>
  </si>
  <si>
    <t xml:space="preserve">S2</t>
  </si>
  <si>
    <t xml:space="preserve">S1 + Apple Silicon 11-15</t>
  </si>
  <si>
    <t xml:space="preserve">C + M + AS</t>
  </si>
  <si>
    <t xml:space="preserve">S3</t>
  </si>
  <si>
    <t xml:space="preserve">S2 + 10.6.8-10.8.5 (full request)</t>
  </si>
  <si>
    <t xml:space="preserve">C + M + AS + L</t>
  </si>
  <si>
    <t xml:space="preserve">S1 + L</t>
  </si>
  <si>
    <t xml:space="preserve">All Intel 10.6.8-15, no Apple Silicon</t>
  </si>
  <si>
    <t xml:space="preserve">C + M + L</t>
  </si>
  <si>
    <t xml:space="preserve">Includes the on-device checks (BC-6), which run only on request: M 2, AS 1-2, L 1-2 sessions.</t>
  </si>
  <si>
    <t xml:space="preserve">Status</t>
  </si>
  <si>
    <t xml:space="preserve">Decisions open</t>
  </si>
  <si>
    <t xml:space="preserve">Decisions answered</t>
  </si>
  <si>
    <t xml:space="preserve">Tasks waiting for a decision</t>
  </si>
  <si>
    <t xml:space="preserve">Tasks done or partly done (static)</t>
  </si>
  <si>
    <t xml:space="preserve">On-device tasks (on request / blocked)</t>
  </si>
  <si>
    <t xml:space="preserve">Evidence checked (E-n)</t>
  </si>
  <si>
    <t xml:space="preserve">Claims still unverified (U-n)</t>
  </si>
  <si>
    <t xml:space="preserve">Key findings of 2026-10-21 (static, nothing loaded)</t>
  </si>
  <si>
    <t xml:space="preserve">E-1/E-2: the 0.2.2 kext imports _IOLockSleep_darwin14, _IOLockWakeup_darwin14 and IOService::configureReport/updateReport - names old kernels lack, so 10.6-10.8 need an old-SDK build.</t>
  </si>
  <si>
    <t xml:space="preserve">E-4: on macOS 14.8.4 Intel, 775 of the 777 imports are defined; the 2 others are reserved IOAudioEngine slots 15/16 (U-11).</t>
  </si>
  <si>
    <t xml:space="preserve">E-5: the FireWire and IOAudio kernel families ship for arm64e (Apple Silicon kernel caches, macOS 14.8.4 KDK), including the classic-DCL createLocalIsochPort.</t>
  </si>
  <si>
    <t xml:space="preserve">E-6: an arm64e IOAudio driver must implement driverDesiresHiResSampleIntervals().</t>
  </si>
  <si>
    <t xml:space="preserve">E-10: the 0.2.2 Swift 4.1 panel starts on Intel macOS 14.8.9 (demo mode).</t>
  </si>
  <si>
    <t xml:space="preserve">E-12: the M-Audio MIDI plug-in is x86_64 + i386 with minimum 10.7 - no arm64, and 10.6 is unverified.</t>
  </si>
  <si>
    <t xml:space="preserve">ID</t>
  </si>
  <si>
    <t xml:space="preserve">Phase</t>
  </si>
  <si>
    <t xml:space="preserve">Task</t>
  </si>
  <si>
    <t xml:space="preserve">Acceptance (how we know it is done)</t>
  </si>
  <si>
    <t xml:space="preserve">Depends on</t>
  </si>
  <si>
    <t xml:space="preserve">Who</t>
  </si>
  <si>
    <t xml:space="preserve">Min sessions</t>
  </si>
  <si>
    <t xml:space="preserve">Max sessions</t>
  </si>
  <si>
    <t xml:space="preserve">Plan ref</t>
  </si>
  <si>
    <t xml:space="preserve">Notes</t>
  </si>
  <si>
    <t xml:space="preserve">BC-1.1</t>
  </si>
  <si>
    <t xml:space="preserve">1 Static evidence</t>
  </si>
  <si>
    <t xml:space="preserve">Symbol audit per kext build x OS: imports vs the KPI symbol sets and family exports of the oldest and newest OS of each band (SL rig 10.6.8 read-only copy, build PC 10.13.6, KDKs 10.9 / 11 / 15)</t>
  </si>
  <si>
    <t xml:space="preserve">A table build x OS with zero unexplained missing symbols</t>
  </si>
  <si>
    <t xml:space="preserve">DEC-1; SL rig reachable</t>
  </si>
  <si>
    <t xml:space="preserve">Partly done</t>
  </si>
  <si>
    <t xml:space="preserve">Claude</t>
  </si>
  <si>
    <t xml:space="preserve">§7 BC-1</t>
  </si>
  <si>
    <t xml:space="preserve">2026-10-21: E-1 (28 imports no reference build uses), E-3 (10.13.6 exports both lock names), E-4 (14.8.4 Intel: 2 of 777 missing = reserved slots 15/16). SL rig did not answer SSH.</t>
  </si>
  <si>
    <t xml:space="preserve">BC-1.2</t>
  </si>
  <si>
    <t xml:space="preserve">Confirm U-1, U-2, U-3, U-6 (K32 defaults, unsigned-kext policy per OS, kext location per OS, Tahoe ceiling) from Apple documentation, man pages and KDKs</t>
  </si>
  <si>
    <t xml:space="preserve">Every OS_Matrix cell has a source; U-1/2/3/6 closed or re-labelled</t>
  </si>
  <si>
    <t xml:space="preserve">—</t>
  </si>
  <si>
    <t xml:space="preserve">Waiting decision</t>
  </si>
  <si>
    <t xml:space="preserve">§3, §7 BC-1</t>
  </si>
  <si>
    <t xml:space="preserve">BC-1.3</t>
  </si>
  <si>
    <t xml:space="preserve">i386 (ILP32) audit of the kext: pointer/UInt32 casts, mach_vm sizes, user-client struct layouts for 32- and 64-bit tasks, format strings</t>
  </si>
  <si>
    <t xml:space="preserve">List of findings with file:line; none left unclassified</t>
  </si>
  <si>
    <t xml:space="preserve">DEC-1 = a; DEC-2</t>
  </si>
  <si>
    <t xml:space="preserve">BC-1.4</t>
  </si>
  <si>
    <t xml:space="preserve">Apple Silicon audit of the kext: 16 KiB pages (TPacketPool 4096 packing, 4 KiB meter page, FWSharedSync 0x1000), AbsoluteTime units, pointer authentication on DCL CallProc / FWFunctor, IOCreateThread, inTaskWithPhysicalMask under DART, driverDesiresHiResSampleIntervals</t>
  </si>
  <si>
    <t xml:space="preserve">List of findings with file:line and the fix for each</t>
  </si>
  <si>
    <t xml:space="preserve">DEC-3</t>
  </si>
  <si>
    <t xml:space="preserve">Sites already known: TPacketPool.cpp:15-34, FWBaseEngine.cpp:179, FWDCLProgram.cpp:284-477, FWAVCAudioDevice.cpp:212, FWBusReset.cpp:5</t>
  </si>
  <si>
    <t xml:space="preserve">BC-1.5</t>
  </si>
  <si>
    <t xml:space="preserve">Header compile of the kext per SDK (-fsyntax-only): 10.6 SDK, 10.13 SDK, 15.2 SDK -arch arm64e</t>
  </si>
  <si>
    <t xml:space="preserve">Error list per SDK, each mapped to a BC-3 fix</t>
  </si>
  <si>
    <t xml:space="preserve">DEC-6 (10.6 SDK)</t>
  </si>
  <si>
    <t xml:space="preserve">BC-1.6</t>
  </si>
  <si>
    <t xml:space="preserve">Panel and Uninstaller API audit (availability per macOS version)</t>
  </si>
  <si>
    <t xml:space="preserve">API list with the OS each needs</t>
  </si>
  <si>
    <t xml:space="preserve">Done (static)</t>
  </si>
  <si>
    <t xml:space="preserve">§2 E-11</t>
  </si>
  <si>
    <t xml:space="preserve">2026-10-21: 5 panel APIs newer than 10.9; Swift floor 10.9</t>
  </si>
  <si>
    <t xml:space="preserve">BC-1.7</t>
  </si>
  <si>
    <t xml:space="preserve">MIDI plug-in audit (architectures, minimum OS)</t>
  </si>
  <si>
    <t xml:space="preserve">Architectures and LC_VERSION_MIN known</t>
  </si>
  <si>
    <t xml:space="preserve">§2 E-12</t>
  </si>
  <si>
    <t xml:space="preserve">2026-10-21: x86_64 + i386, min 10.7. Open: U-7 (10.6), U-9 (Apple Silicon)</t>
  </si>
  <si>
    <t xml:space="preserve">BC-2.1</t>
  </si>
  <si>
    <t xml:space="preserve">2 Build system</t>
  </si>
  <si>
    <t xml:space="preserve">Band-aware build files: kext/Makefile BAND=legacy|main|silicon (SDK, archs, min version, OA_BAND_* defines); helper universal; panel per slice</t>
  </si>
  <si>
    <t xml:space="preserve">make BAND=... produces each slice; the 0.2.2 Main build is byte-identical in behaviour (same flags)</t>
  </si>
  <si>
    <t xml:space="preserve">DEC-1, DEC-3, DEC-9</t>
  </si>
  <si>
    <t xml:space="preserve">§7 BC-2</t>
  </si>
  <si>
    <t xml:space="preserve">BC-2.2</t>
  </si>
  <si>
    <t xml:space="preserve">Legacy toolchain probe (P-2): Xcode 9.4.1 clang/ld + MacOSX10.6.sdk (its i386 libkmod) for an i386 + x86_64 kext; fallback Xcode 4.6.3 on a 10.8 volume</t>
  </si>
  <si>
    <t xml:space="preserve">An i386 + x86_64 kext links; kextutil -n -t passes on 10.6.8</t>
  </si>
  <si>
    <t xml:space="preserve">DEC-1 = a; DEC-6</t>
  </si>
  <si>
    <t xml:space="preserve">BC-2.3</t>
  </si>
  <si>
    <t xml:space="preserve">Silicon toolchain: arm64e kext + arm64 user space with the CLT 15.2 SDK (libkmod arm64e, E-13) or Xcode 12+ on another Mac</t>
  </si>
  <si>
    <t xml:space="preserve">An arm64e kext and arm64 helper/panel build</t>
  </si>
  <si>
    <t xml:space="preserve">DEC-3; DEC-10</t>
  </si>
  <si>
    <t xml:space="preserve">BC-2.4</t>
  </si>
  <si>
    <t xml:space="preserve">Merge and guards: lipo per component; per-slice LC_VERSION_MIN / LC_BUILD_VERSION guard; symbol-audit gate in the build; check-self-contained.sh for universal bundles</t>
  </si>
  <si>
    <t xml:space="preserve">A wrong-band symbol or slice fails the build</t>
  </si>
  <si>
    <t xml:space="preserve">BC-1.1, BC-2.1</t>
  </si>
  <si>
    <t xml:space="preserve">BC-3.1</t>
  </si>
  <si>
    <t xml:space="preserve">3 Kernel</t>
  </si>
  <si>
    <t xml:space="preserve">One OS gate in base/ (version_major); re-label each 10.13-forced deviation (VerifyStreamFormats R68 and the others in CLAUDE.md) with the OS range that forces it</t>
  </si>
  <si>
    <t xml:space="preserve">Every deviation comment names its OS range; conformance check passes</t>
  </si>
  <si>
    <t xml:space="preserve">§7 BC-3</t>
  </si>
  <si>
    <t xml:space="preserve">BC-3.2</t>
  </si>
  <si>
    <t xml:space="preserve">Bind IOLockSleep/IOLockWakeup to the plain exported names (__asm label; 10.13.6 exports both, E-3) or use IOCommandGate::commandSleep; -D_FORTIFY_SOURCE=0 if U-5 fails</t>
  </si>
  <si>
    <t xml:space="preserve">nm -u of the Main build has no _darwin14 symbol; BC-1.1 clean for 10.9</t>
  </si>
  <si>
    <t xml:space="preserve">BC-3.3</t>
  </si>
  <si>
    <t xml:space="preserve">Reserved IOAudioEngine slots 15/16 on 11-15 (E-4, U-11): confirm kmutil patches them; otherwise build an 11+ x86_64 slice with a new SDK (third bundle)</t>
  </si>
  <si>
    <t xml:space="preserve">kextutil -n -t + a load on one Intel 11+ Mac, or the third bundle exists</t>
  </si>
  <si>
    <t xml:space="preserve">BC-6.1</t>
  </si>
  <si>
    <t xml:space="preserve">BC-3.4</t>
  </si>
  <si>
    <t xml:space="preserve">Legacy build: fix what BC-1.5 / BC-1.3 found; Info.plist with KPI library names (per-arch keys only if needed, reference pattern OSBundleLibraries_x86_64)</t>
  </si>
  <si>
    <t xml:space="preserve">Legacy kext links for i386 + x86_64; BC-1.1 clean for 10.6.8</t>
  </si>
  <si>
    <t xml:space="preserve">BC-2.2, BC-1.3, BC-1.5</t>
  </si>
  <si>
    <t xml:space="preserve">BC-3.5</t>
  </si>
  <si>
    <t xml:space="preserve">Silicon build: implement driverDesiresHiResSampleIntervals (+ useHiResSampleInterval / calculateSampleTimeoutHiRes as documented) and the BC-1.4 fixes; comments say 'forced by the arm64 IOAudioEngine header'</t>
  </si>
  <si>
    <t xml:space="preserve">arm64e kext links; BC-1.1 clean against an arm64e KDK</t>
  </si>
  <si>
    <t xml:space="preserve">BC-1.4, BC-2.3</t>
  </si>
  <si>
    <t xml:space="preserve">BC-3.6</t>
  </si>
  <si>
    <t xml:space="preserve">Bundle layout per band: same bundle id and personalities; Main file = x86_64 + arm64e</t>
  </si>
  <si>
    <t xml:space="preserve">Both bundles pass plutil and kextutil -n -t on a host of their band</t>
  </si>
  <si>
    <t xml:space="preserve">BC-3.2, BC-3.4, BC-3.5</t>
  </si>
  <si>
    <t xml:space="preserve">BC-4.1</t>
  </si>
  <si>
    <t xml:space="preserve">4 User space</t>
  </si>
  <si>
    <t xml:space="preserve">Helper universal: i386 + x86_64 (Xcode 9.4.1, min 10.6) + arm64 (min 11), lipo; no API change (E-14)</t>
  </si>
  <si>
    <t xml:space="preserve">lipo -archs shows the slices; each slice's min version matches its band</t>
  </si>
  <si>
    <t xml:space="preserve">§7 BC-4</t>
  </si>
  <si>
    <t xml:space="preserve">BC-4.2</t>
  </si>
  <si>
    <t xml:space="preserve">Swift panel to 10.9: #available fallbacks for the 5 APIs (E-11), deployment target 10.9; Uninstaller likewise</t>
  </si>
  <si>
    <t xml:space="preserve">Typecheck at -target x86_64-apple-macosx10.9; --demo --snapshot PNGs unchanged on 10.13</t>
  </si>
  <si>
    <t xml:space="preserve">BC-4.3</t>
  </si>
  <si>
    <t xml:space="preserve">Panel and Uninstaller arm64 slice: same sources with a Swift 5 compiler (-swift-version 4.2 if needed), lipo with the Swift 4.1 x86_64 slice; bundle-swift-runtime.sh universal-aware</t>
  </si>
  <si>
    <t xml:space="preserve">Universal app passes check-self-contained; --demo --snapshot on arm64 and x86_64</t>
  </si>
  <si>
    <t xml:space="preserve">BC-2.3, BC-4.2</t>
  </si>
  <si>
    <t xml:space="preserve">BC-4.4</t>
  </si>
  <si>
    <t xml:space="preserve">Panel port to Objective-C (DEC-4 a), file by file, host tests ported; replaces the Swift panel everywhere (one universal binary, no Swift runtime)</t>
  </si>
  <si>
    <t xml:space="preserve">Demo snapshots match the Swift panel's on 10.13; app launches on 10.6.8</t>
  </si>
  <si>
    <t xml:space="preserve">DEC-4 = a</t>
  </si>
  <si>
    <t xml:space="preserve">Largest single item: 5,925 Swift lines (E-16)</t>
  </si>
  <si>
    <t xml:space="preserve">BC-4.5</t>
  </si>
  <si>
    <t xml:space="preserve">Uninstaller for 10.6-10.8 (Obj-C with BC-4.4, or an AppleScript applet)</t>
  </si>
  <si>
    <t xml:space="preserve">Runs on 10.6.8 and removes every listed path</t>
  </si>
  <si>
    <t xml:space="preserve">BC-5.3</t>
  </si>
  <si>
    <t xml:space="preserve">BC-4.6</t>
  </si>
  <si>
    <t xml:space="preserve">MIDI clone plug-in mirroring the M-Audio plug-in (A3 decompiles, user-client selectors 500-507), universal</t>
  </si>
  <si>
    <t xml:space="preserve">MIDI in/out through the clone on one Intel Mac matches the original (midiprobe)</t>
  </si>
  <si>
    <t xml:space="preserve">DEC-8</t>
  </si>
  <si>
    <t xml:space="preserve">BC-4.7</t>
  </si>
  <si>
    <t xml:space="preserve">MIDI on 10.6: check the 1.11.2 plug-in's imports against the 10.6.8 frameworks (U-7); otherwise ship the clone there</t>
  </si>
  <si>
    <t xml:space="preserve">U-7 closed</t>
  </si>
  <si>
    <t xml:space="preserve">BC-5.1</t>
  </si>
  <si>
    <t xml:space="preserve">5 Installer</t>
  </si>
  <si>
    <t xml:space="preserve">distribution.xml: min 10.6.8 (or the DEC-1 floor), hostArchitectures i386,x86_64,arm64, OS-conditional choices for the kext bundle/location and MIDI plug-in</t>
  </si>
  <si>
    <t xml:space="preserve">pkgutil --payload-files per choice; Installer picks the right bundle on each band</t>
  </si>
  <si>
    <t xml:space="preserve">DEC-1, DEC-5</t>
  </si>
  <si>
    <t xml:space="preserve">§7 BC-5</t>
  </si>
  <si>
    <t xml:space="preserve">BC-5.2</t>
  </si>
  <si>
    <t xml:space="preserve">postinstall per band: caches (touch /S/L/E + kextcache on L; -system-caches on M; kmutil flow + approval/restart message on M11/AS); keep the kextutil -t -n gate; MIDIServer restart</t>
  </si>
  <si>
    <t xml:space="preserve">Script review per band; the gate runs on all bands</t>
  </si>
  <si>
    <t xml:space="preserve">uninstall.sh: add /System/Library/Extensions/OpenAudioBeBoBMAFW.kext and every new path (all-paths-ever rule kept)</t>
  </si>
  <si>
    <t xml:space="preserve">Dry-run listing covers every payload path of every band</t>
  </si>
  <si>
    <t xml:space="preserve">BC-5.4</t>
  </si>
  <si>
    <t xml:space="preserve">Installer pages + README: per-band prerequisites (10.10 boot-arg, 10.11+ SIP, 11+ approval, Apple Silicon Permissive Security) - documentation only</t>
  </si>
  <si>
    <t xml:space="preserve">Text reviewed by the user</t>
  </si>
  <si>
    <t xml:space="preserve">6 On-device (on request)</t>
  </si>
  <si>
    <t xml:space="preserve">P-1: Main kext on one Intel 11-15 Mac (kextutil -n -t, load, CoreAudio, play/record, panel); also U-8, U-11, U-12 with the Legacy build</t>
  </si>
  <si>
    <t xml:space="preserve">Results recorded in a dated run log</t>
  </si>
  <si>
    <t xml:space="preserve">DEC-7; user request</t>
  </si>
  <si>
    <t xml:space="preserve">On request</t>
  </si>
  <si>
    <t xml:space="preserve">User + Claude</t>
  </si>
  <si>
    <t xml:space="preserve">§7 BC-6, §8</t>
  </si>
  <si>
    <t xml:space="preserve">A panic reboots the host</t>
  </si>
  <si>
    <t xml:space="preserve">BC-6.2</t>
  </si>
  <si>
    <t xml:space="preserve">Main kext on one of 10.9-10.12</t>
  </si>
  <si>
    <t xml:space="preserve">Dated run log</t>
  </si>
  <si>
    <t xml:space="preserve">§7 BC-6</t>
  </si>
  <si>
    <t xml:space="preserve">BC-6.3</t>
  </si>
  <si>
    <t xml:space="preserve">Legacy kext on 10.6.8, K32 and K64, on a volume other than the SL rig's reference install</t>
  </si>
  <si>
    <t xml:space="preserve">BC-6.4</t>
  </si>
  <si>
    <t xml:space="preserve">Apple Silicon with the TB3-&gt;TB2 and TB-&gt;FW800 adapters (U-10, U-14)</t>
  </si>
  <si>
    <t xml:space="preserve">DEC-3, DEC-7; hardware</t>
  </si>
  <si>
    <t xml:space="preserve">Blocked (hardware)</t>
  </si>
  <si>
    <t xml:space="preserve">No Apple Silicon Mac in the inventory</t>
  </si>
  <si>
    <t xml:space="preserve">BC-7.1</t>
  </si>
  <si>
    <t xml:space="preserve">7 Release</t>
  </si>
  <si>
    <t xml:space="preserve">README compatibility table (verified / untested per band), NOTICE, CHANGELOG, VERSION (0.3.0 proposed), docs/ARCHITECTURE_MAFW_v2.md, /close-item</t>
  </si>
  <si>
    <t xml:space="preserve">README states each band's status honestly</t>
  </si>
  <si>
    <t xml:space="preserve">all of the chosen scenario</t>
  </si>
  <si>
    <t xml:space="preserve">§7 BC-7</t>
  </si>
  <si>
    <t xml:space="preserve">Question</t>
  </si>
  <si>
    <t xml:space="preserve">Options</t>
  </si>
  <si>
    <t xml:space="preserve">Why / consequence</t>
  </si>
  <si>
    <t xml:space="preserve">Gates</t>
  </si>
  <si>
    <t xml:space="preserve">Answer (user, with date)</t>
  </si>
  <si>
    <t xml:space="preserve">DEC-1</t>
  </si>
  <si>
    <t xml:space="preserve">Lowest OS to support</t>
  </si>
  <si>
    <t xml:space="preserve">a) 10.6.8 (as asked; adds band L)
b) 10.9 (no old toolchain; Swift panel kept)
c) keep 10.13, extend upward only</t>
  </si>
  <si>
    <t xml:space="preserve">b now; a later if wanted</t>
  </si>
  <si>
    <t xml:space="preserve">Band L costs 11.5-21.5 sessions, mostly the panel port; official M-Audio drivers already run 10.6.8 (v1.9, SL rig) and, per B3, up to 10.11</t>
  </si>
  <si>
    <t xml:space="preserve">BC-1.3, BC-2.2, BC-3.4, BC-4.4/4.5/4.7, BC-5.1, BC-6.3</t>
  </si>
  <si>
    <t xml:space="preserve">Open</t>
  </si>
  <si>
    <t xml:space="preserve">DEC-2</t>
  </si>
  <si>
    <t xml:space="preserve">32-bit kernel (i386 kext slice) for 10.6/10.7 Macs booted K32</t>
  </si>
  <si>
    <t xml:space="preserve">yes / no</t>
  </si>
  <si>
    <t xml:space="preserve">yes if DEC-1 = a</t>
  </si>
  <si>
    <t xml:space="preserve">Without it, 10.6 Macs must boot the 64-bit kernel; 32-bit-EFI Macs cannot (U-1)</t>
  </si>
  <si>
    <t xml:space="preserve">BC-1.3, BC-2.2, BC-3.4</t>
  </si>
  <si>
    <t xml:space="preserve">Apple Silicon in scope</t>
  </si>
  <si>
    <t xml:space="preserve">yes (Apple Silicon Mac + TB3-&gt;TB2 + TB-&gt;FW800 adapters, Permissive Security, MIDI clone) / no</t>
  </si>
  <si>
    <t xml:space="preserve">yes as stage S2 once hardware exists</t>
  </si>
  <si>
    <t xml:space="preserve">Kernel families exist on arm64e in macOS 14.8.4 (E-5); hardware path unproven (U-10)</t>
  </si>
  <si>
    <t xml:space="preserve">BC-1.4, BC-2.3, BC-3.5, BC-4.3, BC-4.6, BC-6.4</t>
  </si>
  <si>
    <t xml:space="preserve">DEC-4</t>
  </si>
  <si>
    <t xml:space="preserve">Control panel on 10.6-10.8</t>
  </si>
  <si>
    <t xml:space="preserve">a) Objective-C port: one panel for every OS
b) Swift 10.9+ plus a separate Obj-C legacy panel
c) no panel on 10.6-10.8</t>
  </si>
  <si>
    <t xml:space="preserve">a if DEC-1 = a</t>
  </si>
  <si>
    <t xml:space="preserve">b doubles the UI code; c loses mixer, routing, clock and firmware-check UI on 10.6-10.8</t>
  </si>
  <si>
    <t xml:space="preserve">BC-4.4, BC-4.5</t>
  </si>
  <si>
    <t xml:space="preserve">DEC-5</t>
  </si>
  <si>
    <t xml:space="preserve">Packaging</t>
  </si>
  <si>
    <t xml:space="preserve">a) one package, OS-conditional choices
b) three editions (Legacy / Classic / Modern)</t>
  </si>
  <si>
    <t xml:space="preserve">a</t>
  </si>
  <si>
    <t xml:space="preserve">Same code either way; a = one download and one version per release</t>
  </si>
  <si>
    <t xml:space="preserve">DEC-6</t>
  </si>
  <si>
    <t xml:space="preserve">Source of the 10.6 SDK (band L)</t>
  </si>
  <si>
    <t xml:space="preserve">Apple developer downloads (Xcode 3.2.6 / 4.x, the user's Apple ID)</t>
  </si>
  <si>
    <t xml:space="preserve">user action</t>
  </si>
  <si>
    <t xml:space="preserve">Modern SDKs have no i386 libkmod (E-13) and their x86_64 headers produce symbols 10.6 lacks (E-1, E-2)</t>
  </si>
  <si>
    <t xml:space="preserve">BC-1.5, BC-2.2</t>
  </si>
  <si>
    <t xml:space="preserve">DEC-7</t>
  </si>
  <si>
    <t xml:space="preserve">Test hosts per band, and whether any BC-6 check happens</t>
  </si>
  <si>
    <t xml:space="preserve">SL rig second volume (10.6.8); iMac11,2 extra volume; MacBookAir5,1 (10.14/10.15); dev Mac (11-14); none</t>
  </si>
  <si>
    <t xml:space="preserve">the user's call</t>
  </si>
  <si>
    <t xml:space="preserve">No formal testing (R123): bands nobody loaded ship labelled untested</t>
  </si>
  <si>
    <t xml:space="preserve">BC-6.1 to BC-6.4</t>
  </si>
  <si>
    <t xml:space="preserve">MIDI on Apple Silicon</t>
  </si>
  <si>
    <t xml:space="preserve">a) clone plug-in (Apple Silicon only)
b) clone everywhere
c) no MIDI on Apple Silicon</t>
  </si>
  <si>
    <t xml:space="preserve">An arm64e MIDIServer cannot load the x86_64/i386 M-Audio plug-in in-process (U-9); a keeps Intel unchanged</t>
  </si>
  <si>
    <t xml:space="preserve">DEC-9</t>
  </si>
  <si>
    <t xml:space="preserve">Where the work lives; version numbers</t>
  </si>
  <si>
    <t xml:space="preserve">branch of openaudio-mafw-bebob / new folder; package 0.3.0, driver 0.3.0</t>
  </si>
  <si>
    <t xml:space="preserve">branch; 0.3.0</t>
  </si>
  <si>
    <t xml:space="preserve">openaudio-fw1814/ stays frozen; band builds share one tree</t>
  </si>
  <si>
    <t xml:space="preserve">BC-2.1, BC-7.1</t>
  </si>
  <si>
    <t xml:space="preserve">DEC-10</t>
  </si>
  <si>
    <t xml:space="preserve">Build arm64e/arm64 slices on the dev Mac</t>
  </si>
  <si>
    <t xml:space="preserve">allow CLT builds there (CLAUDE.md keeps it edit-only) / use another Mac</t>
  </si>
  <si>
    <t xml:space="preserve">The dev Mac's CLT 15.2 SDK has arm64e libkmod (E-13)</t>
  </si>
  <si>
    <t xml:space="preserve">OS</t>
  </si>
  <si>
    <t xml:space="preserve">Name</t>
  </si>
  <si>
    <t xml:space="preserve">Darwin (version_major)</t>
  </si>
  <si>
    <t xml:space="preserve">Kernel arch</t>
  </si>
  <si>
    <t xml:space="preserve">Kext build</t>
  </si>
  <si>
    <t xml:space="preserve">Kext location</t>
  </si>
  <si>
    <t xml:space="preserve">Unsigned-kext prerequisite</t>
  </si>
  <si>
    <t xml:space="preserve">Cache / load tool</t>
  </si>
  <si>
    <t xml:space="preserve">IOAudioFamily</t>
  </si>
  <si>
    <t xml:space="preserve">IOFireWireFamily</t>
  </si>
  <si>
    <t xml:space="preserve">AppleFWAudio.kext</t>
  </si>
  <si>
    <t xml:space="preserve">Panel</t>
  </si>
  <si>
    <t xml:space="preserve">MIDI plug-in</t>
  </si>
  <si>
    <t xml:space="preserve">Project host</t>
  </si>
  <si>
    <t xml:space="preserve">Facts status</t>
  </si>
  <si>
    <t xml:space="preserve">Source</t>
  </si>
  <si>
    <t xml:space="preserve">10.6.8</t>
  </si>
  <si>
    <t xml:space="preserve">Snow Leopard</t>
  </si>
  <si>
    <t xml:space="preserve">i386 (K32, default on most Macs, U-1) or x86_64</t>
  </si>
  <si>
    <t xml:space="preserve">Legacy i386 + x86_64</t>
  </si>
  <si>
    <t xml:space="preserve">/System/Library/Extensions (U-3)</t>
  </si>
  <si>
    <t xml:space="preserve">none (U-2)</t>
  </si>
  <si>
    <t xml:space="preserve">touch /S/L/E + kextcache</t>
  </si>
  <si>
    <t xml:space="preserve">unverified</t>
  </si>
  <si>
    <t xml:space="preserve">Obj-C port or none (DEC-4)</t>
  </si>
  <si>
    <t xml:space="preserve">original if U-7 holds, else clone</t>
  </si>
  <si>
    <t xml:space="preserve">SL rig (keep v1.9 install: separate volume); iMac11,2</t>
  </si>
  <si>
    <t xml:space="preserve">Unverified except: v1.9 runs here (SL rig)</t>
  </si>
  <si>
    <t xml:space="preserve">U-1, U-2, U-3, U-7</t>
  </si>
  <si>
    <t xml:space="preserve">10.7.5</t>
  </si>
  <si>
    <t xml:space="preserve">Lion</t>
  </si>
  <si>
    <t xml:space="preserve">x86_64 (K32 on some Macs, U-1)</t>
  </si>
  <si>
    <t xml:space="preserve">Obj-C port or none</t>
  </si>
  <si>
    <t xml:space="preserve">original (min 10.7, E-12)</t>
  </si>
  <si>
    <t xml:space="preserve">iMac11,2; MacBookAir5,1 (recalled ranges)</t>
  </si>
  <si>
    <t xml:space="preserve">Unverified</t>
  </si>
  <si>
    <t xml:space="preserve">U-1, U-2, U-3</t>
  </si>
  <si>
    <t xml:space="preserve">10.8.5</t>
  </si>
  <si>
    <t xml:space="preserve">Mountain Lion</t>
  </si>
  <si>
    <t xml:space="preserve">x86_64</t>
  </si>
  <si>
    <t xml:space="preserve">Legacy i386 + x86_64 (x86_64 used)</t>
  </si>
  <si>
    <t xml:space="preserve">original</t>
  </si>
  <si>
    <t xml:space="preserve">iMac11,2; MacBookAir5,1</t>
  </si>
  <si>
    <t xml:space="preserve">U-2, U-3</t>
  </si>
  <si>
    <t xml:space="preserve">10.9.5</t>
  </si>
  <si>
    <t xml:space="preserve">Mavericks</t>
  </si>
  <si>
    <t xml:space="preserve">Main x86_64 (after BC-3.2; U-4)</t>
  </si>
  <si>
    <t xml:space="preserve">/Library/Extensions</t>
  </si>
  <si>
    <t xml:space="preserve">unverified (U-2)</t>
  </si>
  <si>
    <t xml:space="preserve">kextcache -system-caches</t>
  </si>
  <si>
    <t xml:space="preserve">Swift (after BC-4.2)</t>
  </si>
  <si>
    <t xml:space="preserve">U-2, U-4, U-5</t>
  </si>
  <si>
    <t xml:space="preserve">10.10.5</t>
  </si>
  <si>
    <t xml:space="preserve">Yosemite</t>
  </si>
  <si>
    <t xml:space="preserve">Main x86_64</t>
  </si>
  <si>
    <t xml:space="preserve">boot-arg kext-dev-mode=1 (U-2)</t>
  </si>
  <si>
    <t xml:space="preserve">U-2, U-5</t>
  </si>
  <si>
    <t xml:space="preserve">10.11.6</t>
  </si>
  <si>
    <t xml:space="preserve">El Capitan</t>
  </si>
  <si>
    <t xml:space="preserve">SIP off or --without kext (U-2)</t>
  </si>
  <si>
    <t xml:space="preserve">10.12.6</t>
  </si>
  <si>
    <t xml:space="preserve">Sierra</t>
  </si>
  <si>
    <t xml:space="preserve">SIP off (U-2)</t>
  </si>
  <si>
    <t xml:space="preserve">10.13.6</t>
  </si>
  <si>
    <t xml:space="preserve">High Sierra</t>
  </si>
  <si>
    <t xml:space="preserve">Main x86_64 (= today's build)</t>
  </si>
  <si>
    <t xml:space="preserve">SIP off (verified by the project)</t>
  </si>
  <si>
    <t xml:space="preserve">206.5 (E-8)</t>
  </si>
  <si>
    <t xml:space="preserve">4.7.2 (E-8)</t>
  </si>
  <si>
    <t xml:space="preserve">present (E-8)</t>
  </si>
  <si>
    <t xml:space="preserve">Swift (today)</t>
  </si>
  <si>
    <t xml:space="preserve">original (today)</t>
  </si>
  <si>
    <t xml:space="preserve">build PC; MacBook Air (today)</t>
  </si>
  <si>
    <t xml:space="preserve">Verified (0.2.2 in use)</t>
  </si>
  <si>
    <t xml:space="preserve">E-3, E-8, E-9</t>
  </si>
  <si>
    <t xml:space="preserve">10.14.6</t>
  </si>
  <si>
    <t xml:space="preserve">Mojave</t>
  </si>
  <si>
    <t xml:space="preserve">Swift</t>
  </si>
  <si>
    <t xml:space="preserve">MacBookAir5,1</t>
  </si>
  <si>
    <t xml:space="preserve">U-2</t>
  </si>
  <si>
    <t xml:space="preserve">10.15.7</t>
  </si>
  <si>
    <t xml:space="preserve">Catalina</t>
  </si>
  <si>
    <t xml:space="preserve">/Library/Extensions (system volume read-only)</t>
  </si>
  <si>
    <t xml:space="preserve">kextcache -i /</t>
  </si>
  <si>
    <t xml:space="preserve">11 (Intel)</t>
  </si>
  <si>
    <t xml:space="preserve">Big Sur</t>
  </si>
  <si>
    <t xml:space="preserve">M11</t>
  </si>
  <si>
    <t xml:space="preserve">Main x86_64 (U-11)</t>
  </si>
  <si>
    <t xml:space="preserve">/Library/Extensions -&gt; auxiliary KC</t>
  </si>
  <si>
    <t xml:space="preserve">SIP off; approval + restart (U-2)</t>
  </si>
  <si>
    <t xml:space="preserve">kmutil (kextutil -n -t for the gate)</t>
  </si>
  <si>
    <t xml:space="preserve">Swift (E-10 on 14)</t>
  </si>
  <si>
    <t xml:space="preserve">original (U-8)</t>
  </si>
  <si>
    <t xml:space="preserve">dev Mac (supports up to 12, recalled)</t>
  </si>
  <si>
    <t xml:space="preserve">U-2, U-8, U-11</t>
  </si>
  <si>
    <t xml:space="preserve">12 (Intel)</t>
  </si>
  <si>
    <t xml:space="preserve">Monterey</t>
  </si>
  <si>
    <t xml:space="preserve">kmutil</t>
  </si>
  <si>
    <t xml:space="preserve">dev Mac</t>
  </si>
  <si>
    <t xml:space="preserve">13 (Intel)</t>
  </si>
  <si>
    <t xml:space="preserve">Ventura</t>
  </si>
  <si>
    <t xml:space="preserve">dev Mac (non-standard install)</t>
  </si>
  <si>
    <t xml:space="preserve">14 (Intel)</t>
  </si>
  <si>
    <t xml:space="preserve">Sonoma</t>
  </si>
  <si>
    <t xml:space="preserve">Main x86_64 (2 of 777 symbols = reserved slots, E-4)</t>
  </si>
  <si>
    <t xml:space="preserve">540.3 (E-7)</t>
  </si>
  <si>
    <t xml:space="preserve">4.8.3 (E-7)</t>
  </si>
  <si>
    <t xml:space="preserve">absent (E-7)</t>
  </si>
  <si>
    <t xml:space="preserve">Swift (demo runs, E-10)</t>
  </si>
  <si>
    <t xml:space="preserve">dev Mac 14.8.9 (non-standard install)</t>
  </si>
  <si>
    <t xml:space="preserve">Partly verified (static)</t>
  </si>
  <si>
    <t xml:space="preserve">E-4, E-7, E-10, U-11</t>
  </si>
  <si>
    <t xml:space="preserve">15 (Intel)</t>
  </si>
  <si>
    <t xml:space="preserve">Sequoia</t>
  </si>
  <si>
    <t xml:space="preserve">none</t>
  </si>
  <si>
    <t xml:space="preserve">11-15 (Apple Silicon)</t>
  </si>
  <si>
    <t xml:space="preserve">Big Sur ... Sequoia</t>
  </si>
  <si>
    <t xml:space="preserve">20-24</t>
  </si>
  <si>
    <t xml:space="preserve">arm64e</t>
  </si>
  <si>
    <t xml:space="preserve">Main arm64e slice (BC-3.5)</t>
  </si>
  <si>
    <t xml:space="preserve">Permissive Security + user-managed kexts; approval + restart (U-2)</t>
  </si>
  <si>
    <t xml:space="preserve">arm64e build exists (E-5)</t>
  </si>
  <si>
    <t xml:space="preserve">absent in kernelcache manifests (E-5 lists no AppleFWAudio)</t>
  </si>
  <si>
    <t xml:space="preserve">arm64 slice (BC-4.3)</t>
  </si>
  <si>
    <t xml:space="preserve">clone (DEC-8, U-9)</t>
  </si>
  <si>
    <t xml:space="preserve">none (needs hardware + 2 adapters)</t>
  </si>
  <si>
    <t xml:space="preserve">Families verified present (static); hardware path unverified</t>
  </si>
  <si>
    <t xml:space="preserve">E-5, E-6, U-9, U-10, U-14</t>
  </si>
  <si>
    <t xml:space="preserve">26</t>
  </si>
  <si>
    <t xml:space="preserve">Tahoe</t>
  </si>
  <si>
    <t xml:space="preserve">out of scope</t>
  </si>
  <si>
    <t xml:space="preserve">no FireWire stack (U-6)</t>
  </si>
  <si>
    <t xml:space="preserve">Unverified (macfw statement)</t>
  </si>
  <si>
    <t xml:space="preserve">U-6</t>
  </si>
  <si>
    <t xml:space="preserve">Feature</t>
  </si>
  <si>
    <t xml:space="preserve">10.6.8-10.8.5 (L)</t>
  </si>
  <si>
    <t xml:space="preserve">10.9-10.12 (M)</t>
  </si>
  <si>
    <t xml:space="preserve">10.14-10.15 (M)</t>
  </si>
  <si>
    <t xml:space="preserve">11-15 Intel (M11)</t>
  </si>
  <si>
    <t xml:space="preserve">11-15 Apple Silicon (AS)</t>
  </si>
  <si>
    <t xml:space="preserve">Evidence / settle by</t>
  </si>
  <si>
    <t xml:space="preserve">Audio I/O, all rates 44.1-192 kHz, S/PDIF / ADAT / S/MUX</t>
  </si>
  <si>
    <t xml:space="preserve">Same (v1.9 does it on 10.6.8; ours unverified)</t>
  </si>
  <si>
    <t xml:space="preserve">Same (unverified)</t>
  </si>
  <si>
    <t xml:space="preserve">U-10, U-11, U-13, U-14</t>
  </si>
  <si>
    <t xml:space="preserve">32-bit kernel (K32) Macs</t>
  </si>
  <si>
    <t xml:space="preserve">needs the i386 slice (DEC-2)</t>
  </si>
  <si>
    <t xml:space="preserve">n/a</t>
  </si>
  <si>
    <t xml:space="preserve">U-1</t>
  </si>
  <si>
    <t xml:space="preserve">Mixer, routing, levels, encoders, helper settings replay</t>
  </si>
  <si>
    <t xml:space="preserve">Same</t>
  </si>
  <si>
    <t xml:space="preserve">E-14</t>
  </si>
  <si>
    <t xml:space="preserve">Meters (shared 4 KiB page)</t>
  </si>
  <si>
    <t xml:space="preserve">16 KiB page review</t>
  </si>
  <si>
    <t xml:space="preserve">U-14, BC-1.4</t>
  </si>
  <si>
    <t xml:space="preserve">MIDI in/out</t>
  </si>
  <si>
    <t xml:space="preserve">Same if U-7 holds, else clone</t>
  </si>
  <si>
    <t xml:space="preserve">Same (U-8)</t>
  </si>
  <si>
    <t xml:space="preserve">LOST unless the clone exists</t>
  </si>
  <si>
    <t xml:space="preserve">U-7, U-9, DEC-8</t>
  </si>
  <si>
    <t xml:space="preserve">Control panel</t>
  </si>
  <si>
    <t xml:space="preserve">LOST if DEC-4 = c; = with the Obj-C port</t>
  </si>
  <si>
    <t xml:space="preserve">Same (fallbacks, E-11)</t>
  </si>
  <si>
    <t xml:space="preserve">Same (E-10, demo)</t>
  </si>
  <si>
    <t xml:space="preserve">Same with arm64 slice</t>
  </si>
  <si>
    <t xml:space="preserve">E-10, E-11</t>
  </si>
  <si>
    <t xml:space="preserve">Panel: dark vibrant title bar</t>
  </si>
  <si>
    <t xml:space="preserve">lost (10.10+)</t>
  </si>
  <si>
    <t xml:space="preserve">lost on 10.9</t>
  </si>
  <si>
    <t xml:space="preserve">E-11</t>
  </si>
  <si>
    <t xml:space="preserve">Panel: tabular-digit system font</t>
  </si>
  <si>
    <t xml:space="preserve">fallback</t>
  </si>
  <si>
    <t xml:space="preserve">fallback on 10.9-10.10</t>
  </si>
  <si>
    <t xml:space="preserve">Panel: GPU-only meter updates</t>
  </si>
  <si>
    <t xml:space="preserve">fallback on 10.6-10.7 (CPU drawing)</t>
  </si>
  <si>
    <t xml:space="preserve">wantsUpdateLayer 10.8+</t>
  </si>
  <si>
    <t xml:space="preserve">Panel: Retina</t>
  </si>
  <si>
    <t xml:space="preserve">lost on 10.6 (10.7.3+)</t>
  </si>
  <si>
    <t xml:space="preserve">recalled</t>
  </si>
  <si>
    <t xml:space="preserve">Panel: Big Meter full screen</t>
  </si>
  <si>
    <t xml:space="preserve">lost on 10.6 (10.7+)</t>
  </si>
  <si>
    <t xml:space="preserve">Status menu, launch at login</t>
  </si>
  <si>
    <t xml:space="preserve">fallback (legacy NSStatusItem API)</t>
  </si>
  <si>
    <t xml:space="preserve">fallback on 10.9</t>
  </si>
  <si>
    <t xml:space="preserve">CoreAudio listeners</t>
  </si>
  <si>
    <t xml:space="preserve">fallback on 10.6 (C callbacks)</t>
  </si>
  <si>
    <t xml:space="preserve">AudioHardware.h:397 (10.7)</t>
  </si>
  <si>
    <t xml:space="preserve">Firmware check window (read-only)</t>
  </si>
  <si>
    <t xml:space="preserve">Same with the port</t>
  </si>
  <si>
    <t xml:space="preserve">Uninstall app</t>
  </si>
  <si>
    <t xml:space="preserve">needs a port</t>
  </si>
  <si>
    <t xml:space="preserve">fallbacks</t>
  </si>
  <si>
    <t xml:space="preserve">arm64 slice or Rosetta</t>
  </si>
  <si>
    <t xml:space="preserve">Install steps</t>
  </si>
  <si>
    <t xml:space="preserve">kext in /System/Library/Extensions; no prerequisite</t>
  </si>
  <si>
    <t xml:space="preserve">10.10 boot-arg; 10.11+ SIP off</t>
  </si>
  <si>
    <t xml:space="preserve">SIP off</t>
  </si>
  <si>
    <t xml:space="preserve">SIP off + approval + restart</t>
  </si>
  <si>
    <t xml:space="preserve">Permissive Security + approval + restart</t>
  </si>
  <si>
    <t xml:space="preserve">Component</t>
  </si>
  <si>
    <t xml:space="preserve">Today (0.2.2)</t>
  </si>
  <si>
    <t xml:space="preserve">Band L (10.6.8-10.8.5)</t>
  </si>
  <si>
    <t xml:space="preserve">Band M (10.9-10.15)</t>
  </si>
  <si>
    <t xml:space="preserve">Band M11 (11-15 Intel)</t>
  </si>
  <si>
    <t xml:space="preserve">Band AS (11-15 Apple Silicon)</t>
  </si>
  <si>
    <t xml:space="preserve">Builds needed</t>
  </si>
  <si>
    <t xml:space="preserve">Kernel extension</t>
  </si>
  <si>
    <t xml:space="preserve">x86_64, Xcode 9.4.1, 10.13 SDK, min 10.13 (E-9)</t>
  </si>
  <si>
    <t xml:space="preserve">Legacy build: i386 + x86_64, 10.6 SDK</t>
  </si>
  <si>
    <t xml:space="preserve">Main x86_64 (10.13 SDK) + BC-3.2</t>
  </si>
  <si>
    <t xml:space="preserve">same Main x86_64 slice (U-11)</t>
  </si>
  <si>
    <t xml:space="preserve">arm64e slice in the Main file, 15 SDK, + BC-3.5</t>
  </si>
  <si>
    <t xml:space="preserve">2 (Legacy, Main); 1 if U-12 holds; 3 if BC-3.3 fails</t>
  </si>
  <si>
    <t xml:space="preserve">BC-1.1/1.3/1.4/1.5, BC-2.x, BC-3.x</t>
  </si>
  <si>
    <t xml:space="preserve">Helper daemon (C)</t>
  </si>
  <si>
    <t xml:space="preserve">x86_64, min 10.13</t>
  </si>
  <si>
    <t xml:space="preserve">i386 + x86_64 slice, min 10.6</t>
  </si>
  <si>
    <t xml:space="preserve">same</t>
  </si>
  <si>
    <t xml:space="preserve">arm64 slice, min 11</t>
  </si>
  <si>
    <t xml:space="preserve">1 universal binary</t>
  </si>
  <si>
    <t xml:space="preserve">Swift 4.1, x86_64, bundled runtime, min 10.13</t>
  </si>
  <si>
    <t xml:space="preserve">Obj-C port (DEC-4 a) or none</t>
  </si>
  <si>
    <t xml:space="preserve">Swift min 10.9 (BC-4.2) or the Obj-C port</t>
  </si>
  <si>
    <t xml:space="preserve">arm64 slice (Swift 5) or the Obj-C port</t>
  </si>
  <si>
    <t xml:space="preserve">1 (Obj-C port) or 1 Swift universal + nothing on L</t>
  </si>
  <si>
    <t xml:space="preserve">BC-4.2, BC-4.3, BC-4.4</t>
  </si>
  <si>
    <t xml:space="preserve">Swift 4.1, x86_64</t>
  </si>
  <si>
    <t xml:space="preserve">Obj-C / AppleScript</t>
  </si>
  <si>
    <t xml:space="preserve">Swift min 10.9</t>
  </si>
  <si>
    <t xml:space="preserve">arm64 slice</t>
  </si>
  <si>
    <t xml:space="preserve">1-2</t>
  </si>
  <si>
    <t xml:space="preserve">BC-4.2, BC-4.3, BC-4.5</t>
  </si>
  <si>
    <t xml:space="preserve">CoreMIDI plug-in</t>
  </si>
  <si>
    <t xml:space="preserve">M-Audio 1.11.2 original, x86_64 + i386, min 10.7 (E-12)</t>
  </si>
  <si>
    <t xml:space="preserve">clone (DEC-8)</t>
  </si>
  <si>
    <t xml:space="preserve">1 (original) + 1 (clone) if AS</t>
  </si>
  <si>
    <t xml:space="preserve">BC-4.6, BC-4.7</t>
  </si>
  <si>
    <t xml:space="preserve">Installer package</t>
  </si>
  <si>
    <t xml:space="preserve">min 10.13, hostArchitectures x86_64 (E-9)</t>
  </si>
  <si>
    <t xml:space="preserve">choice: Legacy kext -&gt; /System/Library/Extensions</t>
  </si>
  <si>
    <t xml:space="preserve">choice: Main kext -&gt; /Library/Extensions</t>
  </si>
  <si>
    <t xml:space="preserve">same + kmutil message</t>
  </si>
  <si>
    <t xml:space="preserve">same + Permissive Security text</t>
  </si>
  <si>
    <t xml:space="preserve">1 package (Option A)</t>
  </si>
  <si>
    <t xml:space="preserve">BC-5.x</t>
  </si>
  <si>
    <t xml:space="preserve">Disk image</t>
  </si>
  <si>
    <t xml:space="preserve">UDZO + HFS+ (E-15)</t>
  </si>
  <si>
    <t xml:space="preserve">opens on 10.6</t>
  </si>
  <si>
    <t xml:space="preserve">1</t>
  </si>
  <si>
    <t xml:space="preserve">Bench tools (not shipped)</t>
  </si>
  <si>
    <t xml:space="preserve">C, x86_64</t>
  </si>
  <si>
    <t xml:space="preserve">rebuild per band only when needed</t>
  </si>
  <si>
    <t xml:space="preserve">arm64 if needed</t>
  </si>
  <si>
    <t xml:space="preserve">on demand</t>
  </si>
  <si>
    <t xml:space="preserve">Kind</t>
  </si>
  <si>
    <t xml:space="preserve">Statement</t>
  </si>
  <si>
    <t xml:space="preserve">How checked / how to settle</t>
  </si>
  <si>
    <t xml:space="preserve">File or source</t>
  </si>
  <si>
    <t xml:space="preserve">Date</t>
  </si>
  <si>
    <t xml:space="preserve">Feeds</t>
  </si>
  <si>
    <t xml:space="preserve">E-1</t>
  </si>
  <si>
    <t xml:space="preserve">Checked</t>
  </si>
  <si>
    <t xml:space="preserve">0.2.2 kext imports 777 symbols; 28 imported by no reference build, incl. _IOLockSleep_darwin14, _IOLockWakeup_darwin14, IOService::configureReport/updateReport, ___memmove_chk, ___strlcat_chk</t>
  </si>
  <si>
    <t xml:space="preserve">nm -u of the 0.2.2 payload and of v1.9 / v1.10.5 / v1.11.3</t>
  </si>
  <si>
    <t xml:space="preserve">evidence/kext-0.2.2-imports*.txt</t>
  </si>
  <si>
    <t xml:space="preserve">2026-10-21</t>
  </si>
  <si>
    <t xml:space="preserve">§1, BC-1.1, BC-3.2</t>
  </si>
  <si>
    <t xml:space="preserve">E-2</t>
  </si>
  <si>
    <t xml:space="preserve">Modern SDKs alias IOLockSleep / IOLockSleepDeadline / IOLockWakeup to _darwin14 names on x86_64 regardless of deployment target</t>
  </si>
  <si>
    <t xml:space="preserve">Read the SDK headers</t>
  </si>
  <si>
    <t xml:space="preserve">MacOSX13.3.sdk sys/cdefs.h:514-519; IOKit/IOLocks.h:129,132,134</t>
  </si>
  <si>
    <t xml:space="preserve">E-3</t>
  </si>
  <si>
    <t xml:space="preserve">10.13.6 KPI symbol sets export both plain and _darwin14 lock names, ___memmove_chk, ___strlcat_chk, _version_major, _kernel_thread_start, _thread_call_allocate, _IOCreateThread</t>
  </si>
  <si>
    <t xml:space="preserve">read-only nm on the build PC</t>
  </si>
  <si>
    <t xml:space="preserve">evidence/buildpc-10.13.6-kpi-exports.txt</t>
  </si>
  <si>
    <t xml:space="preserve">BC-3.1, BC-3.2</t>
  </si>
  <si>
    <t xml:space="preserve">E-4</t>
  </si>
  <si>
    <t xml:space="preserve">macOS 14.8.4 Intel: all but 2 of 777 imports defined; missing IOAudioEngine::_RESERVEDIOAudioEngine15/16 (now calculateSampleTimeoutHiRes / useHiResSampleInterval)</t>
  </si>
  <si>
    <t xml:space="preserve">KDK 14.8.4 kernel + family dSYMs; 15.2 SDK IOAudioEngine.h:389,403,431-432</t>
  </si>
  <si>
    <t xml:space="preserve">evidence/kext-0.2.2-vs-macos-14.8.4-x86_64.txt</t>
  </si>
  <si>
    <t xml:space="preserve">BC-3.3, U-11</t>
  </si>
  <si>
    <t xml:space="preserve">E-5</t>
  </si>
  <si>
    <t xml:space="preserve">IOFireWireFamily, IOFireWireAVC, IOAudioFamily, IOFireWireSBP2 built for arm64e; Apple Silicon kernelcache manifests list them + AppleFWOHCI; arm64e IOFireWireFamily defines createLocalIsochPort (classic DCL)</t>
  </si>
  <si>
    <t xml:space="preserve">KDK 14.8.4 dSYM lipo -archs; manifests; nm</t>
  </si>
  <si>
    <t xml:space="preserve">evidence/kdk-14.8.4-families-arm64e.txt</t>
  </si>
  <si>
    <t xml:space="preserve">DEC-3, BC-3.5</t>
  </si>
  <si>
    <t xml:space="preserve">E-6</t>
  </si>
  <si>
    <t xml:space="preserve">ARM-only pure virtual IOAudioEngine::driverDesiresHiResSampleIntervals() must be implemented by ARM subclasses</t>
  </si>
  <si>
    <t xml:space="preserve">Read the SDK header</t>
  </si>
  <si>
    <t xml:space="preserve">MacOSX15.2.sdk IOKit/audio/IOAudioEngine.h:928-943</t>
  </si>
  <si>
    <t xml:space="preserve">E-7</t>
  </si>
  <si>
    <t xml:space="preserve">macOS 14.8.9: IOFireWireLib / IOFireWireAVCLib / MIDIServer are x86_64 + arm64e; AppleFWAudio.kext absent; IOAudioFamily 540.3, IOFireWireFamily 4.8.3, IOFireWireAVC 4.2.8</t>
  </si>
  <si>
    <t xml:space="preserve">lipo -archs, Info.plist on the dev Mac</t>
  </si>
  <si>
    <t xml:space="preserve">OS_Matrix</t>
  </si>
  <si>
    <t xml:space="preserve">E-8</t>
  </si>
  <si>
    <t xml:space="preserve">10.13.6: IOAudioFamily 206.5, IOFireWireFamily 4.7.2, IOFireWireAVC 4.2.6; AppleFWAudio.kext present</t>
  </si>
  <si>
    <t xml:space="preserve">read-only on the build PC</t>
  </si>
  <si>
    <t xml:space="preserve">E-9</t>
  </si>
  <si>
    <t xml:space="preserve">All 0.2.2 binaries x86_64 only; helper/panel LC_VERSION_MIN 10.13; installer min 10.13, hostArchitectures x86_64</t>
  </si>
  <si>
    <t xml:space="preserve">lipo, otool -l; distribution.xml.in:6-7</t>
  </si>
  <si>
    <t xml:space="preserve">dist/OA-BeBoB-MAFW-0.2.2.pkg</t>
  </si>
  <si>
    <t xml:space="preserve">BC-2.x, BC-5.1</t>
  </si>
  <si>
    <t xml:space="preserve">E-10</t>
  </si>
  <si>
    <t xml:space="preserve">0.2.2 panel starts and renders 8 demo snapshots on Intel macOS 14.8.9 (demo mode only)</t>
  </si>
  <si>
    <t xml:space="preserve">--demo --snapshot on the dev Mac</t>
  </si>
  <si>
    <t xml:space="preserve">evidence/panel-0.2.2-demo-macos-14.8.9.txt</t>
  </si>
  <si>
    <t xml:space="preserve">M11 panel</t>
  </si>
  <si>
    <t xml:space="preserve">Panel APIs newer than 10.9: labelWithString 10.12, monospacedDigitSystemFont 10.11, vibrantDark 10.10, NSStatusItem.button 10.10, labelColor 10.10; listener blocks 10.7; Swift floor 10.9</t>
  </si>
  <si>
    <t xml:space="preserve">API_AVAILABLE in the 15.2 SDK headers; grep of Sources/</t>
  </si>
  <si>
    <t xml:space="preserve">Widgets.swift:11, Theme.swift:62,173, StatusMenu.swift:35,105,114</t>
  </si>
  <si>
    <t xml:space="preserve">BC-4.2, DEC-4</t>
  </si>
  <si>
    <t xml:space="preserve">E-12</t>
  </si>
  <si>
    <t xml:space="preserve">Reference builds: v1.11.3 kext x86_64 only (OSBundleLibraries + OSBundleLibraries_x86_64); v1.10.5 x86_64 + i386 + ppc; v1.9 i386 + x86_64; MIDI plug-in 1.11.2 x86_64 + i386, LC_VERSION_MIN 10.7</t>
  </si>
  <si>
    <t xml:space="preserve">lipo, otool -l, PlistBuddy</t>
  </si>
  <si>
    <t xml:space="preserve">_extracted/, _refs/sl-v1.9, _vendor/README.md</t>
  </si>
  <si>
    <t xml:space="preserve">BC-3.4, BC-4.7</t>
  </si>
  <si>
    <t xml:space="preserve">E-13</t>
  </si>
  <si>
    <t xml:space="preserve">CLT SDKs 13-15.2 on the dev Mac; 15.2 libkmod x86_64/x86_64h/arm64e; cc_kext i386/x86_64/arm64/arm64e; no i386 libkmod in modern SDKs</t>
  </si>
  <si>
    <t xml:space="preserve">lipo -archs</t>
  </si>
  <si>
    <t xml:space="preserve">BC-2.2, BC-2.3</t>
  </si>
  <si>
    <t xml:space="preserve">Helper uses only 10.0-10.4-era IOKit / CF / SystemConfiguration APIs</t>
  </si>
  <si>
    <t xml:space="preserve">grep of firmware-helper/*.c</t>
  </si>
  <si>
    <t xml:space="preserve">firmware-helper/</t>
  </si>
  <si>
    <t xml:space="preserve">E-15</t>
  </si>
  <si>
    <t xml:space="preserve">Disk image UDZO + HFS+</t>
  </si>
  <si>
    <t xml:space="preserve">read the settings</t>
  </si>
  <si>
    <t xml:space="preserve">installer/dmg-settings.py:7-8</t>
  </si>
  <si>
    <t xml:space="preserve">Components</t>
  </si>
  <si>
    <t xml:space="preserve">E-16</t>
  </si>
  <si>
    <t xml:space="preserve">Panel 5,925 lines of Swift (+ ~120 Uninstaller); helper 457 lines of C</t>
  </si>
  <si>
    <t xml:space="preserve">wc -l</t>
  </si>
  <si>
    <t xml:space="preserve">control-panel/Sources, firmware-helper</t>
  </si>
  <si>
    <t xml:space="preserve">10.6 boots K32 on most Macs; 10.7 on some; 32-bit-EFI Macs cannot boot K64</t>
  </si>
  <si>
    <t xml:space="preserve">uname -v per target; Apple notes</t>
  </si>
  <si>
    <t xml:space="preserve">Unsigned-kext policy per OS (10.10 kext-dev-mode, 10.11+ SIP, 11+ AuxKC approval, Apple Silicon Permissive Security); 10.13.6 row verified by the project</t>
  </si>
  <si>
    <t xml:space="preserve">Apple docs, man kmutil/kextutil</t>
  </si>
  <si>
    <t xml:space="preserve">OS_Matrix, BC-5.4</t>
  </si>
  <si>
    <t xml:space="preserve">U-3</t>
  </si>
  <si>
    <t xml:space="preserve">/Library/Extensions is scanned only from 10.9</t>
  </si>
  <si>
    <t xml:space="preserve">Apple docs</t>
  </si>
  <si>
    <t xml:space="preserve">U-4</t>
  </si>
  <si>
    <t xml:space="preserve">IOReporting (configureReport/updateReport) exists from 10.9 - the Main build's floor</t>
  </si>
  <si>
    <t xml:space="preserve">10.9 symbol set / KDK</t>
  </si>
  <si>
    <t xml:space="preserve">U-5</t>
  </si>
  <si>
    <t xml:space="preserve">___memmove_chk / ___strlcat_chk exported on 10.9-10.12</t>
  </si>
  <si>
    <t xml:space="preserve">symbol sets; or -D_FORTIFY_SOURCE=0</t>
  </si>
  <si>
    <t xml:space="preserve">macOS 26 Tahoe has no FireWire stack (ceiling = 15)</t>
  </si>
  <si>
    <t xml:space="preserve">macfw statement; a Tahoe KDK</t>
  </si>
  <si>
    <t xml:space="preserve">docs/MACOS12_PORT_PERSPECTIVE.md §1-2</t>
  </si>
  <si>
    <t xml:space="preserve">scope</t>
  </si>
  <si>
    <t xml:space="preserve">U-7</t>
  </si>
  <si>
    <t xml:space="preserve">The 1.11.2 MIDI plug-in (min 10.7) runs on 10.6.8</t>
  </si>
  <si>
    <t xml:space="preserve">imports vs 10.6.8 frameworks</t>
  </si>
  <si>
    <t xml:space="preserve">Band L MIDI</t>
  </si>
  <si>
    <t xml:space="preserve">U-8</t>
  </si>
  <si>
    <t xml:space="preserve">x86_64 panel works against the real kext on 11-15</t>
  </si>
  <si>
    <t xml:space="preserve">U-9</t>
  </si>
  <si>
    <t xml:space="preserve">CoreMIDI on Apple Silicon can host an x86_64-only driver plug-in</t>
  </si>
  <si>
    <t xml:space="preserve">one Apple Silicon run or Apple docs</t>
  </si>
  <si>
    <t xml:space="preserve">U-10</t>
  </si>
  <si>
    <t xml:space="preserve">FireWire works on Apple Silicon through TB3-&gt;TB2 + TB-&gt;FW800 adapters</t>
  </si>
  <si>
    <t xml:space="preserve">U-11</t>
  </si>
  <si>
    <t xml:space="preserve">kxld / kmutil patch the reserved-slot vtable entries 15/16 of a 10.13-SDK kext</t>
  </si>
  <si>
    <t xml:space="preserve">kextutil -n -t + a load on Intel 11+</t>
  </si>
  <si>
    <t xml:space="preserve">U-12</t>
  </si>
  <si>
    <t xml:space="preserve">An old-SDK x86_64 slice loads and runs on 10.9-15 (would allow one kext bundle)</t>
  </si>
  <si>
    <t xml:space="preserve">BC-6.1 with the Legacy build</t>
  </si>
  <si>
    <t xml:space="preserve">Option A'</t>
  </si>
  <si>
    <t xml:space="preserve">U-13</t>
  </si>
  <si>
    <t xml:space="preserve">10.6 HAL behaviour with our 10.13-driven deviations (VerifyStreamFormats, rate changes through CoreAudio)</t>
  </si>
  <si>
    <t xml:space="preserve">RK-1</t>
  </si>
  <si>
    <t xml:space="preserve">U-14</t>
  </si>
  <si>
    <t xml:space="preserve">DCL ring, TPacketPool (4 KiB packing, 32-bit mask) and 4 KiB meter page on Apple Silicon (16 KiB pages, DART, 24 MHz timebase, PAC)</t>
  </si>
  <si>
    <t xml:space="preserve">BC-1.4 static, BC-6.4</t>
  </si>
  <si>
    <t xml:space="preserve">Risk</t>
  </si>
  <si>
    <t xml:space="preserve">Likelihood (estimate)</t>
  </si>
  <si>
    <t xml:space="preserve">Impact (estimate)</t>
  </si>
  <si>
    <t xml:space="preserve">Mitigation</t>
  </si>
  <si>
    <t xml:space="preserve">10.6 HAL / IOAudioFamily behave differently from 10.13 (U-13)</t>
  </si>
  <si>
    <t xml:space="preserve">Medium</t>
  </si>
  <si>
    <t xml:space="preserve">High</t>
  </si>
  <si>
    <t xml:space="preserve">Decompile-and-diff first (standing method lesson); BC-6.3</t>
  </si>
  <si>
    <t xml:space="preserve">RK-2</t>
  </si>
  <si>
    <t xml:space="preserve">A 10.13-forced deviation misbehaves on another IOAudioFamily version (206.5 vs 540.3)</t>
  </si>
  <si>
    <t xml:space="preserve">all</t>
  </si>
  <si>
    <t xml:space="preserve">BC-3.1 gates each deviation by OS range</t>
  </si>
  <si>
    <t xml:space="preserve">RK-3</t>
  </si>
  <si>
    <t xml:space="preserve">kmutil does not patch reserved slots 15/16</t>
  </si>
  <si>
    <t xml:space="preserve">Low</t>
  </si>
  <si>
    <t xml:space="preserve">Separate 11+ x86_64 build (third bundle)</t>
  </si>
  <si>
    <t xml:space="preserve">RK-4</t>
  </si>
  <si>
    <t xml:space="preserve">Classic DCL from the kernel fails on 11-15 (symbol present on x86_64 and arm64e, E-4/E-5)</t>
  </si>
  <si>
    <t xml:space="preserve">M11, AS</t>
  </si>
  <si>
    <t xml:space="preserve">BC-6.1 decides it early</t>
  </si>
  <si>
    <t xml:space="preserve">RK-5</t>
  </si>
  <si>
    <t xml:space="preserve">16 KiB pages / DART / timebase break the DMA ring or meter page</t>
  </si>
  <si>
    <t xml:space="preserve">BC-1.4, BC-3.5</t>
  </si>
  <si>
    <t xml:space="preserve">RK-6</t>
  </si>
  <si>
    <t xml:space="preserve">FireWire through the adapter chain unreliable; bus power short for the Audiophile</t>
  </si>
  <si>
    <t xml:space="preserve">RK-7</t>
  </si>
  <si>
    <t xml:space="preserve">A panic reboots the test host; on Apple Silicon recovery needs recoveryOS</t>
  </si>
  <si>
    <t xml:space="preserve">Say so before any load (hardware etiquette); §8</t>
  </si>
  <si>
    <t xml:space="preserve">BC-6.x</t>
  </si>
  <si>
    <t xml:space="preserve">RK-8</t>
  </si>
  <si>
    <t xml:space="preserve">Three toolchains per release (Xcode 9.4.1, 10.6 SDK, CLT / Xcode 12+)</t>
  </si>
  <si>
    <t xml:space="preserve">BC-2 scripts; record toolchain versions in CHANGELOG</t>
  </si>
  <si>
    <t xml:space="preserve">BC-2.x</t>
  </si>
  <si>
    <t xml:space="preserve">RK-9</t>
  </si>
  <si>
    <t xml:space="preserve">Permissive Security lowers the whole Mac's security</t>
  </si>
  <si>
    <t xml:space="preserve">User's choice, stated in the installer pages</t>
  </si>
  <si>
    <t xml:space="preserve">RK-10</t>
  </si>
  <si>
    <t xml:space="preserve">Panel port introduces UI regressions</t>
  </si>
  <si>
    <t xml:space="preserve">Port file by file against the --demo --snapshot PNGs</t>
  </si>
  <si>
    <t xml:space="preserve">RK-11</t>
  </si>
  <si>
    <t xml:space="preserve">Original MIDI plug-in fails on 10.6 (min 10.7)</t>
  </si>
  <si>
    <t xml:space="preserve">BC-4.7 -&gt; clone</t>
  </si>
  <si>
    <t xml:space="preserve">RK-12</t>
  </si>
  <si>
    <t xml:space="preserve">Most bands ship untested (R123)</t>
  </si>
  <si>
    <t xml:space="preserve">README marks each band; on-device checks only on request</t>
  </si>
  <si>
    <t xml:space="preserve">Legend</t>
  </si>
  <si>
    <t xml:space="preserve">Common: needed in every scenario</t>
  </si>
  <si>
    <t xml:space="preserve">Main: Intel 10.9-15 (M11 = the same build on 11-15)</t>
  </si>
  <si>
    <t xml:space="preserve">Legacy: 10.6.8-10.8.5</t>
  </si>
  <si>
    <t xml:space="preserve">Scenarios</t>
  </si>
  <si>
    <t xml:space="preserve">Intel 10.9-15 = C + M</t>
  </si>
  <si>
    <t xml:space="preserve">S1 + Apple Silicon = C + M + AS</t>
  </si>
  <si>
    <t xml:space="preserve">S2 + 10.6.8-10.8.5 = C + M + AS + L (the full request)</t>
  </si>
  <si>
    <t xml:space="preserve">Task status values</t>
  </si>
  <si>
    <t xml:space="preserve">Gated by a DEC-n in the Decisions tab</t>
  </si>
  <si>
    <t xml:space="preserve">Partly done / Done (static)</t>
  </si>
  <si>
    <t xml:space="preserve">Static work done on 2026-10-21 (nothing loaded)</t>
  </si>
  <si>
    <t xml:space="preserve">On-device check; runs only if the user asks (no formal testing, R123)</t>
  </si>
  <si>
    <t xml:space="preserve">Needs hardware the project does not have</t>
  </si>
  <si>
    <t xml:space="preserve">Editing</t>
  </si>
  <si>
    <t xml:space="preserve">Blue text</t>
  </si>
  <si>
    <t xml:space="preserve">Inputs you may change: task status, min/max sessions, risk ratings</t>
  </si>
  <si>
    <t xml:space="preserve">Yellow cells</t>
  </si>
  <si>
    <t xml:space="preserve">Decision answers (Decisions!H)</t>
  </si>
  <si>
    <t xml:space="preserve">Black text</t>
  </si>
  <si>
    <t xml:space="preserve">Fixed text or formulas (Dashboard totals refresh from Tasks)</t>
  </si>
  <si>
    <t xml:space="preserve">Units</t>
  </si>
  <si>
    <t xml:space="preserve">Session</t>
  </si>
  <si>
    <t xml:space="preserve">One working session, as in docs/BUILD_AUDIOPHILE_PLAN_v2.md §8. Every effort figure is an estimate.</t>
  </si>
  <si>
    <t xml:space="preserve">Evidence ids</t>
  </si>
  <si>
    <t xml:space="preserve">E-n checked on 2026-10-21; U-n unverified, with the check that settles it</t>
  </si>
  <si>
    <t xml:space="preserve">Plan</t>
  </si>
  <si>
    <t xml:space="preserve">BROAD_COMPATIBILITY_PLAN_v1.md (same folder); a new version gets new files (_v2)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</si>
</sst>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2"/>
    </font>
    <font>
      <sz val="10"/>
      <color rgb="FF0000FF"/>
      <name val="Arial"/>
      <family val="0"/>
      <charset val="1"/>
    </font>
    <font>
      <b val="true"/>
      <sz val="10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E2EFDA"/>
      </patternFill>
    </fill>
    <fill>
      <patternFill patternType="solid">
        <fgColor rgb="FFFFF2CC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>
          <bgColor rgb="FFE2EFDA"/>
        </patternFill>
      </fill>
    </dxf>
    <dxf>
      <fill>
        <patternFill>
          <bgColor rgb="FFDDEBF7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34"/>
    <col collapsed="false" customWidth="true" hidden="false" outlineLevel="0" max="6" min="3" style="0" width="1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30" hidden="false" customHeight="true" outlineLevel="0" collapsed="false">
      <c r="A5" s="4" t="s">
        <v>3</v>
      </c>
      <c r="B5" s="5" t="s">
        <v>4</v>
      </c>
      <c r="C5" s="5"/>
      <c r="D5" s="5"/>
      <c r="E5" s="5"/>
      <c r="F5" s="5"/>
    </row>
    <row r="6" customFormat="false" ht="30" hidden="false" customHeight="true" outlineLevel="0" collapsed="false">
      <c r="A6" s="4" t="s">
        <v>5</v>
      </c>
      <c r="B6" s="5" t="s">
        <v>6</v>
      </c>
      <c r="C6" s="5"/>
      <c r="D6" s="5"/>
      <c r="E6" s="5"/>
      <c r="F6" s="5"/>
    </row>
    <row r="7" customFormat="false" ht="30" hidden="false" customHeight="true" outlineLevel="0" collapsed="false">
      <c r="A7" s="4" t="s">
        <v>7</v>
      </c>
      <c r="B7" s="5" t="s">
        <v>8</v>
      </c>
      <c r="C7" s="5"/>
      <c r="D7" s="5"/>
      <c r="E7" s="5"/>
      <c r="F7" s="5"/>
    </row>
    <row r="8" customFormat="false" ht="30" hidden="false" customHeight="true" outlineLevel="0" collapsed="false">
      <c r="A8" s="4" t="s">
        <v>9</v>
      </c>
      <c r="B8" s="5" t="s">
        <v>10</v>
      </c>
      <c r="C8" s="5"/>
      <c r="D8" s="5"/>
      <c r="E8" s="5"/>
      <c r="F8" s="5"/>
    </row>
    <row r="9" customFormat="false" ht="30" hidden="false" customHeight="true" outlineLevel="0" collapsed="false">
      <c r="A9" s="4" t="s">
        <v>11</v>
      </c>
      <c r="B9" s="5" t="s">
        <v>12</v>
      </c>
      <c r="C9" s="5"/>
      <c r="D9" s="5"/>
      <c r="E9" s="5"/>
      <c r="F9" s="5"/>
    </row>
    <row r="10" customFormat="false" ht="30" hidden="false" customHeight="true" outlineLevel="0" collapsed="false">
      <c r="A10" s="4" t="s">
        <v>13</v>
      </c>
      <c r="B10" s="5" t="s">
        <v>14</v>
      </c>
      <c r="C10" s="5"/>
      <c r="D10" s="5"/>
      <c r="E10" s="5"/>
      <c r="F10" s="5"/>
    </row>
    <row r="12" customFormat="false" ht="15" hidden="false" customHeight="false" outlineLevel="0" collapsed="false">
      <c r="A12" s="3" t="s">
        <v>15</v>
      </c>
    </row>
    <row r="13" customFormat="false" ht="15" hidden="false" customHeight="false" outlineLevel="0" collapsed="false">
      <c r="A13" s="6" t="s">
        <v>16</v>
      </c>
      <c r="B13" s="6" t="s">
        <v>17</v>
      </c>
      <c r="C13" s="6" t="s">
        <v>18</v>
      </c>
      <c r="D13" s="6" t="s">
        <v>19</v>
      </c>
      <c r="E13" s="6" t="s">
        <v>20</v>
      </c>
      <c r="F13" s="6" t="s">
        <v>21</v>
      </c>
    </row>
    <row r="14" customFormat="false" ht="15" hidden="false" customHeight="false" outlineLevel="0" collapsed="false">
      <c r="A14" s="7" t="s">
        <v>22</v>
      </c>
      <c r="B14" s="8" t="s">
        <v>23</v>
      </c>
      <c r="C14" s="7" t="n">
        <f aca="false">COUNTIF(Tasks!$C$2:$C$200,A14)</f>
        <v>14</v>
      </c>
      <c r="D14" s="9" t="n">
        <f aca="false">SUMIFS(Tasks!$I$2:$I$200,Tasks!$C$2:$C$200,A14)</f>
        <v>9</v>
      </c>
      <c r="E14" s="9" t="n">
        <f aca="false">SUMIFS(Tasks!$J$2:$J$200,Tasks!$C$2:$C$200,A14)</f>
        <v>13</v>
      </c>
      <c r="F14" s="7" t="n">
        <f aca="false">COUNTIFS(Tasks!$C$2:$C$200,A14,Tasks!$G$2:$G$200,"Done*")+COUNTIFS(Tasks!$C$2:$C$200,A14,Tasks!$G$2:$G$200,"Partly done")</f>
        <v>2</v>
      </c>
    </row>
    <row r="15" customFormat="false" ht="15" hidden="false" customHeight="false" outlineLevel="0" collapsed="false">
      <c r="A15" s="7" t="s">
        <v>24</v>
      </c>
      <c r="B15" s="8" t="s">
        <v>25</v>
      </c>
      <c r="C15" s="7" t="n">
        <f aca="false">COUNTIF(Tasks!$C$2:$C$200,A15)</f>
        <v>6</v>
      </c>
      <c r="D15" s="9" t="n">
        <f aca="false">SUMIFS(Tasks!$I$2:$I$200,Tasks!$C$2:$C$200,A15)</f>
        <v>4</v>
      </c>
      <c r="E15" s="9" t="n">
        <f aca="false">SUMIFS(Tasks!$J$2:$J$200,Tasks!$C$2:$C$200,A15)</f>
        <v>5.5</v>
      </c>
      <c r="F15" s="7" t="n">
        <f aca="false">COUNTIFS(Tasks!$C$2:$C$200,A15,Tasks!$G$2:$G$200,"Done*")+COUNTIFS(Tasks!$C$2:$C$200,A15,Tasks!$G$2:$G$200,"Partly done")</f>
        <v>1</v>
      </c>
    </row>
    <row r="16" customFormat="false" ht="15" hidden="false" customHeight="false" outlineLevel="0" collapsed="false">
      <c r="A16" s="7" t="s">
        <v>26</v>
      </c>
      <c r="B16" s="8" t="s">
        <v>27</v>
      </c>
      <c r="C16" s="7" t="n">
        <f aca="false">COUNTIF(Tasks!$C$2:$C$200,A16)</f>
        <v>6</v>
      </c>
      <c r="D16" s="9" t="n">
        <f aca="false">SUMIFS(Tasks!$I$2:$I$200,Tasks!$C$2:$C$200,A16)</f>
        <v>9</v>
      </c>
      <c r="E16" s="9" t="n">
        <f aca="false">SUMIFS(Tasks!$J$2:$J$200,Tasks!$C$2:$C$200,A16)</f>
        <v>17.5</v>
      </c>
      <c r="F16" s="7" t="n">
        <f aca="false">COUNTIFS(Tasks!$C$2:$C$200,A16,Tasks!$G$2:$G$200,"Done*")+COUNTIFS(Tasks!$C$2:$C$200,A16,Tasks!$G$2:$G$200,"Partly done")</f>
        <v>0</v>
      </c>
    </row>
    <row r="17" customFormat="false" ht="15" hidden="false" customHeight="false" outlineLevel="0" collapsed="false">
      <c r="A17" s="7" t="s">
        <v>28</v>
      </c>
      <c r="B17" s="8" t="s">
        <v>29</v>
      </c>
      <c r="C17" s="7" t="n">
        <f aca="false">COUNTIF(Tasks!$C$2:$C$200,A17)</f>
        <v>7</v>
      </c>
      <c r="D17" s="9" t="n">
        <f aca="false">SUMIFS(Tasks!$I$2:$I$200,Tasks!$C$2:$C$200,A17)</f>
        <v>11.5</v>
      </c>
      <c r="E17" s="9" t="n">
        <f aca="false">SUMIFS(Tasks!$J$2:$J$200,Tasks!$C$2:$C$200,A17)</f>
        <v>21.5</v>
      </c>
      <c r="F17" s="7" t="n">
        <f aca="false">COUNTIFS(Tasks!$C$2:$C$200,A17,Tasks!$G$2:$G$200,"Done*")+COUNTIFS(Tasks!$C$2:$C$200,A17,Tasks!$G$2:$G$200,"Partly done")</f>
        <v>0</v>
      </c>
    </row>
    <row r="18" customFormat="false" ht="15" hidden="false" customHeight="false" outlineLevel="0" collapsed="false">
      <c r="A18" s="10" t="s">
        <v>30</v>
      </c>
      <c r="B18" s="10"/>
      <c r="C18" s="10" t="n">
        <f aca="false">SUM(C14:C17)</f>
        <v>33</v>
      </c>
      <c r="D18" s="11" t="n">
        <f aca="false">SUM(D14:D17)</f>
        <v>33.5</v>
      </c>
      <c r="E18" s="11" t="n">
        <f aca="false">SUM(E14:E17)</f>
        <v>57.5</v>
      </c>
      <c r="F18" s="10" t="n">
        <f aca="false">SUM(F14:F17)</f>
        <v>3</v>
      </c>
    </row>
    <row r="20" customFormat="false" ht="15" hidden="false" customHeight="false" outlineLevel="0" collapsed="false">
      <c r="A20" s="3" t="s">
        <v>31</v>
      </c>
    </row>
    <row r="21" customFormat="false" ht="15" hidden="false" customHeight="false" outlineLevel="0" collapsed="false">
      <c r="A21" s="6" t="s">
        <v>32</v>
      </c>
      <c r="B21" s="6" t="s">
        <v>33</v>
      </c>
      <c r="C21" s="6" t="s">
        <v>34</v>
      </c>
      <c r="D21" s="6" t="s">
        <v>19</v>
      </c>
      <c r="E21" s="6" t="s">
        <v>20</v>
      </c>
    </row>
    <row r="22" customFormat="false" ht="15" hidden="false" customHeight="false" outlineLevel="0" collapsed="false">
      <c r="A22" s="12" t="s">
        <v>35</v>
      </c>
      <c r="B22" s="8" t="s">
        <v>25</v>
      </c>
      <c r="C22" s="7" t="s">
        <v>36</v>
      </c>
      <c r="D22" s="9" t="n">
        <f aca="false">D14+D15</f>
        <v>13</v>
      </c>
      <c r="E22" s="9" t="n">
        <f aca="false">E14+E15</f>
        <v>18.5</v>
      </c>
    </row>
    <row r="23" customFormat="false" ht="15" hidden="false" customHeight="false" outlineLevel="0" collapsed="false">
      <c r="A23" s="12" t="s">
        <v>37</v>
      </c>
      <c r="B23" s="8" t="s">
        <v>38</v>
      </c>
      <c r="C23" s="7" t="s">
        <v>39</v>
      </c>
      <c r="D23" s="9" t="n">
        <f aca="false">D14+D15+D16</f>
        <v>22</v>
      </c>
      <c r="E23" s="9" t="n">
        <f aca="false">E14+E15+E16</f>
        <v>36</v>
      </c>
    </row>
    <row r="24" customFormat="false" ht="15" hidden="false" customHeight="false" outlineLevel="0" collapsed="false">
      <c r="A24" s="12" t="s">
        <v>40</v>
      </c>
      <c r="B24" s="8" t="s">
        <v>41</v>
      </c>
      <c r="C24" s="7" t="s">
        <v>42</v>
      </c>
      <c r="D24" s="9" t="n">
        <f aca="false">D14+D15+D16+D17</f>
        <v>33.5</v>
      </c>
      <c r="E24" s="9" t="n">
        <f aca="false">E14+E15+E16+E17</f>
        <v>57.5</v>
      </c>
    </row>
    <row r="25" customFormat="false" ht="15" hidden="false" customHeight="false" outlineLevel="0" collapsed="false">
      <c r="A25" s="12" t="s">
        <v>43</v>
      </c>
      <c r="B25" s="8" t="s">
        <v>44</v>
      </c>
      <c r="C25" s="7" t="s">
        <v>45</v>
      </c>
      <c r="D25" s="9" t="n">
        <f aca="false">D14+D15+D17</f>
        <v>24.5</v>
      </c>
      <c r="E25" s="9" t="n">
        <f aca="false">E14+E15+E17</f>
        <v>40</v>
      </c>
    </row>
    <row r="26" customFormat="false" ht="15" hidden="false" customHeight="false" outlineLevel="0" collapsed="false">
      <c r="A26" s="2" t="s">
        <v>46</v>
      </c>
    </row>
    <row r="28" customFormat="false" ht="15" hidden="false" customHeight="false" outlineLevel="0" collapsed="false">
      <c r="A28" s="3" t="s">
        <v>47</v>
      </c>
    </row>
    <row r="29" customFormat="false" ht="15" hidden="false" customHeight="false" outlineLevel="0" collapsed="false">
      <c r="A29" s="13" t="s">
        <v>48</v>
      </c>
      <c r="B29" s="13"/>
      <c r="C29" s="12" t="n">
        <f aca="false">COUNTIF(Decisions!$G$2:$G$100,"Open")</f>
        <v>10</v>
      </c>
    </row>
    <row r="30" customFormat="false" ht="15" hidden="false" customHeight="false" outlineLevel="0" collapsed="false">
      <c r="A30" s="13" t="s">
        <v>49</v>
      </c>
      <c r="B30" s="13"/>
      <c r="C30" s="12" t="n">
        <f aca="false">COUNTIF(Decisions!$G$2:$G$100,"Answered")</f>
        <v>0</v>
      </c>
    </row>
    <row r="31" customFormat="false" ht="15" hidden="false" customHeight="false" outlineLevel="0" collapsed="false">
      <c r="A31" s="13" t="s">
        <v>50</v>
      </c>
      <c r="B31" s="13"/>
      <c r="C31" s="12" t="n">
        <f aca="false">COUNTIF(Tasks!$G$2:$G$200,"Waiting decision")</f>
        <v>26</v>
      </c>
    </row>
    <row r="32" customFormat="false" ht="15" hidden="false" customHeight="false" outlineLevel="0" collapsed="false">
      <c r="A32" s="13" t="s">
        <v>51</v>
      </c>
      <c r="B32" s="13"/>
      <c r="C32" s="12" t="n">
        <f aca="false">COUNTIF(Tasks!$G$2:$G$200,"Done*")+COUNTIF(Tasks!$G$2:$G$200,"Partly done")</f>
        <v>3</v>
      </c>
    </row>
    <row r="33" customFormat="false" ht="15" hidden="false" customHeight="false" outlineLevel="0" collapsed="false">
      <c r="A33" s="13" t="s">
        <v>52</v>
      </c>
      <c r="B33" s="13"/>
      <c r="C33" s="12" t="n">
        <f aca="false">COUNTIF(Tasks!$G$2:$G$200,"On request")+COUNTIF(Tasks!$G$2:$G$200,"Blocked (hardware)")</f>
        <v>4</v>
      </c>
    </row>
    <row r="34" customFormat="false" ht="15" hidden="false" customHeight="false" outlineLevel="0" collapsed="false">
      <c r="A34" s="13" t="s">
        <v>53</v>
      </c>
      <c r="B34" s="13"/>
      <c r="C34" s="12" t="n">
        <f aca="false">COUNTIF(Evidence!$B$2:$B$200,"Checked")</f>
        <v>16</v>
      </c>
    </row>
    <row r="35" customFormat="false" ht="15" hidden="false" customHeight="false" outlineLevel="0" collapsed="false">
      <c r="A35" s="13" t="s">
        <v>54</v>
      </c>
      <c r="B35" s="13"/>
      <c r="C35" s="12" t="n">
        <f aca="false">COUNTIF(Evidence!$B$2:$B$200,"Unverified")</f>
        <v>14</v>
      </c>
    </row>
    <row r="37" customFormat="false" ht="15" hidden="false" customHeight="false" outlineLevel="0" collapsed="false">
      <c r="A37" s="3" t="s">
        <v>55</v>
      </c>
    </row>
    <row r="38" customFormat="false" ht="27.75" hidden="false" customHeight="true" outlineLevel="0" collapsed="false">
      <c r="A38" s="5" t="s">
        <v>56</v>
      </c>
      <c r="B38" s="5"/>
      <c r="C38" s="5"/>
      <c r="D38" s="5"/>
      <c r="E38" s="5"/>
      <c r="F38" s="5"/>
    </row>
    <row r="39" customFormat="false" ht="27.75" hidden="false" customHeight="true" outlineLevel="0" collapsed="false">
      <c r="A39" s="5" t="s">
        <v>57</v>
      </c>
      <c r="B39" s="5"/>
      <c r="C39" s="5"/>
      <c r="D39" s="5"/>
      <c r="E39" s="5"/>
      <c r="F39" s="5"/>
    </row>
    <row r="40" customFormat="false" ht="27.75" hidden="false" customHeight="true" outlineLevel="0" collapsed="false">
      <c r="A40" s="5" t="s">
        <v>58</v>
      </c>
      <c r="B40" s="5"/>
      <c r="C40" s="5"/>
      <c r="D40" s="5"/>
      <c r="E40" s="5"/>
      <c r="F40" s="5"/>
    </row>
    <row r="41" customFormat="false" ht="27.75" hidden="false" customHeight="true" outlineLevel="0" collapsed="false">
      <c r="A41" s="5" t="s">
        <v>59</v>
      </c>
      <c r="B41" s="5"/>
      <c r="C41" s="5"/>
      <c r="D41" s="5"/>
      <c r="E41" s="5"/>
      <c r="F41" s="5"/>
    </row>
    <row r="42" customFormat="false" ht="27.75" hidden="false" customHeight="true" outlineLevel="0" collapsed="false">
      <c r="A42" s="5" t="s">
        <v>60</v>
      </c>
      <c r="B42" s="5"/>
      <c r="C42" s="5"/>
      <c r="D42" s="5"/>
      <c r="E42" s="5"/>
      <c r="F42" s="5"/>
    </row>
    <row r="43" customFormat="false" ht="27.75" hidden="false" customHeight="true" outlineLevel="0" collapsed="false">
      <c r="A43" s="5" t="s">
        <v>61</v>
      </c>
      <c r="B43" s="5"/>
      <c r="C43" s="5"/>
      <c r="D43" s="5"/>
      <c r="E43" s="5"/>
      <c r="F43" s="5"/>
    </row>
  </sheetData>
  <mergeCells count="19">
    <mergeCell ref="B5:F5"/>
    <mergeCell ref="B6:F6"/>
    <mergeCell ref="B7:F7"/>
    <mergeCell ref="B8:F8"/>
    <mergeCell ref="B9:F9"/>
    <mergeCell ref="B10:F10"/>
    <mergeCell ref="A29:B29"/>
    <mergeCell ref="A30:B30"/>
    <mergeCell ref="A31:B31"/>
    <mergeCell ref="A32:B32"/>
    <mergeCell ref="A33:B33"/>
    <mergeCell ref="A34:B34"/>
    <mergeCell ref="A35:B35"/>
    <mergeCell ref="A38:F38"/>
    <mergeCell ref="A39:F39"/>
    <mergeCell ref="A40:F40"/>
    <mergeCell ref="A41:F41"/>
    <mergeCell ref="A42:F42"/>
    <mergeCell ref="A43:F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6"/>
    <col collapsed="false" customWidth="true" hidden="false" outlineLevel="0" max="3" min="3" style="0" width="6"/>
    <col collapsed="false" customWidth="true" hidden="false" outlineLevel="0" max="4" min="4" style="0" width="58"/>
    <col collapsed="false" customWidth="true" hidden="false" outlineLevel="0" max="5" min="5" style="0" width="40"/>
    <col collapsed="false" customWidth="true" hidden="false" outlineLevel="0" max="6" min="6" style="0" width="20"/>
    <col collapsed="false" customWidth="true" hidden="false" outlineLevel="0" max="7" min="7" style="0" width="16"/>
    <col collapsed="false" customWidth="true" hidden="false" outlineLevel="0" max="8" min="8" style="0" width="12"/>
    <col collapsed="false" customWidth="true" hidden="false" outlineLevel="0" max="10" min="9" style="0" width="9"/>
    <col collapsed="false" customWidth="true" hidden="false" outlineLevel="0" max="11" min="11" style="0" width="12"/>
    <col collapsed="false" customWidth="true" hidden="false" outlineLevel="0" max="12" min="12" style="0" width="46"/>
  </cols>
  <sheetData>
    <row r="1" customFormat="false" ht="35.05" hidden="false" customHeight="false" outlineLevel="0" collapsed="false">
      <c r="A1" s="6" t="s">
        <v>62</v>
      </c>
      <c r="B1" s="6" t="s">
        <v>63</v>
      </c>
      <c r="C1" s="6" t="s">
        <v>16</v>
      </c>
      <c r="D1" s="6" t="s">
        <v>64</v>
      </c>
      <c r="E1" s="6" t="s">
        <v>65</v>
      </c>
      <c r="F1" s="6" t="s">
        <v>66</v>
      </c>
      <c r="G1" s="6" t="s">
        <v>47</v>
      </c>
      <c r="H1" s="6" t="s">
        <v>67</v>
      </c>
      <c r="I1" s="6" t="s">
        <v>68</v>
      </c>
      <c r="J1" s="6" t="s">
        <v>69</v>
      </c>
      <c r="K1" s="6" t="s">
        <v>70</v>
      </c>
      <c r="L1" s="6" t="s">
        <v>71</v>
      </c>
    </row>
    <row r="2" customFormat="false" ht="46.25" hidden="false" customHeight="false" outlineLevel="0" collapsed="false">
      <c r="A2" s="8" t="s">
        <v>72</v>
      </c>
      <c r="B2" s="8" t="s">
        <v>73</v>
      </c>
      <c r="C2" s="7" t="s">
        <v>22</v>
      </c>
      <c r="D2" s="8" t="s">
        <v>74</v>
      </c>
      <c r="E2" s="8" t="s">
        <v>75</v>
      </c>
      <c r="F2" s="8" t="s">
        <v>76</v>
      </c>
      <c r="G2" s="14" t="s">
        <v>77</v>
      </c>
      <c r="H2" s="8" t="s">
        <v>78</v>
      </c>
      <c r="I2" s="15" t="n">
        <v>1</v>
      </c>
      <c r="J2" s="15" t="n">
        <v>2</v>
      </c>
      <c r="K2" s="8" t="s">
        <v>79</v>
      </c>
      <c r="L2" s="8" t="s">
        <v>80</v>
      </c>
    </row>
    <row r="3" customFormat="false" ht="35.05" hidden="false" customHeight="false" outlineLevel="0" collapsed="false">
      <c r="A3" s="8" t="s">
        <v>81</v>
      </c>
      <c r="B3" s="8" t="s">
        <v>73</v>
      </c>
      <c r="C3" s="7" t="s">
        <v>22</v>
      </c>
      <c r="D3" s="8" t="s">
        <v>82</v>
      </c>
      <c r="E3" s="8" t="s">
        <v>83</v>
      </c>
      <c r="F3" s="8" t="s">
        <v>84</v>
      </c>
      <c r="G3" s="14" t="s">
        <v>85</v>
      </c>
      <c r="H3" s="8" t="s">
        <v>78</v>
      </c>
      <c r="I3" s="15" t="n">
        <v>0.5</v>
      </c>
      <c r="J3" s="15" t="n">
        <v>1</v>
      </c>
      <c r="K3" s="8" t="s">
        <v>86</v>
      </c>
      <c r="L3" s="8"/>
    </row>
    <row r="4" customFormat="false" ht="23.85" hidden="false" customHeight="false" outlineLevel="0" collapsed="false">
      <c r="A4" s="8" t="s">
        <v>87</v>
      </c>
      <c r="B4" s="8" t="s">
        <v>73</v>
      </c>
      <c r="C4" s="7" t="s">
        <v>28</v>
      </c>
      <c r="D4" s="8" t="s">
        <v>88</v>
      </c>
      <c r="E4" s="8" t="s">
        <v>89</v>
      </c>
      <c r="F4" s="8" t="s">
        <v>90</v>
      </c>
      <c r="G4" s="14" t="s">
        <v>85</v>
      </c>
      <c r="H4" s="8" t="s">
        <v>78</v>
      </c>
      <c r="I4" s="15" t="n">
        <v>0.5</v>
      </c>
      <c r="J4" s="15" t="n">
        <v>1</v>
      </c>
      <c r="K4" s="8" t="s">
        <v>79</v>
      </c>
      <c r="L4" s="8"/>
    </row>
    <row r="5" customFormat="false" ht="57.45" hidden="false" customHeight="false" outlineLevel="0" collapsed="false">
      <c r="A5" s="8" t="s">
        <v>91</v>
      </c>
      <c r="B5" s="8" t="s">
        <v>73</v>
      </c>
      <c r="C5" s="7" t="s">
        <v>26</v>
      </c>
      <c r="D5" s="8" t="s">
        <v>92</v>
      </c>
      <c r="E5" s="8" t="s">
        <v>93</v>
      </c>
      <c r="F5" s="8" t="s">
        <v>94</v>
      </c>
      <c r="G5" s="14" t="s">
        <v>85</v>
      </c>
      <c r="H5" s="8" t="s">
        <v>78</v>
      </c>
      <c r="I5" s="15" t="n">
        <v>1</v>
      </c>
      <c r="J5" s="15" t="n">
        <v>1.5</v>
      </c>
      <c r="K5" s="8" t="s">
        <v>79</v>
      </c>
      <c r="L5" s="8" t="s">
        <v>95</v>
      </c>
    </row>
    <row r="6" customFormat="false" ht="23.85" hidden="false" customHeight="false" outlineLevel="0" collapsed="false">
      <c r="A6" s="8" t="s">
        <v>96</v>
      </c>
      <c r="B6" s="8" t="s">
        <v>73</v>
      </c>
      <c r="C6" s="7" t="s">
        <v>22</v>
      </c>
      <c r="D6" s="8" t="s">
        <v>97</v>
      </c>
      <c r="E6" s="8" t="s">
        <v>98</v>
      </c>
      <c r="F6" s="8" t="s">
        <v>99</v>
      </c>
      <c r="G6" s="14" t="s">
        <v>85</v>
      </c>
      <c r="H6" s="8" t="s">
        <v>78</v>
      </c>
      <c r="I6" s="15" t="n">
        <v>0.5</v>
      </c>
      <c r="J6" s="15" t="n">
        <v>1</v>
      </c>
      <c r="K6" s="8" t="s">
        <v>79</v>
      </c>
      <c r="L6" s="8"/>
    </row>
    <row r="7" customFormat="false" ht="23.85" hidden="false" customHeight="false" outlineLevel="0" collapsed="false">
      <c r="A7" s="8" t="s">
        <v>100</v>
      </c>
      <c r="B7" s="8" t="s">
        <v>73</v>
      </c>
      <c r="C7" s="7" t="s">
        <v>24</v>
      </c>
      <c r="D7" s="8" t="s">
        <v>101</v>
      </c>
      <c r="E7" s="8" t="s">
        <v>102</v>
      </c>
      <c r="F7" s="8" t="s">
        <v>84</v>
      </c>
      <c r="G7" s="14" t="s">
        <v>103</v>
      </c>
      <c r="H7" s="8" t="s">
        <v>78</v>
      </c>
      <c r="I7" s="15" t="n">
        <v>0</v>
      </c>
      <c r="J7" s="15" t="n">
        <v>0</v>
      </c>
      <c r="K7" s="8" t="s">
        <v>104</v>
      </c>
      <c r="L7" s="8" t="s">
        <v>105</v>
      </c>
    </row>
    <row r="8" customFormat="false" ht="23.85" hidden="false" customHeight="false" outlineLevel="0" collapsed="false">
      <c r="A8" s="8" t="s">
        <v>106</v>
      </c>
      <c r="B8" s="8" t="s">
        <v>73</v>
      </c>
      <c r="C8" s="7" t="s">
        <v>22</v>
      </c>
      <c r="D8" s="8" t="s">
        <v>107</v>
      </c>
      <c r="E8" s="8" t="s">
        <v>108</v>
      </c>
      <c r="F8" s="8" t="s">
        <v>84</v>
      </c>
      <c r="G8" s="14" t="s">
        <v>103</v>
      </c>
      <c r="H8" s="8" t="s">
        <v>78</v>
      </c>
      <c r="I8" s="15" t="n">
        <v>0</v>
      </c>
      <c r="J8" s="15" t="n">
        <v>0</v>
      </c>
      <c r="K8" s="8" t="s">
        <v>109</v>
      </c>
      <c r="L8" s="8" t="s">
        <v>110</v>
      </c>
    </row>
    <row r="9" customFormat="false" ht="35.05" hidden="false" customHeight="false" outlineLevel="0" collapsed="false">
      <c r="A9" s="8" t="s">
        <v>111</v>
      </c>
      <c r="B9" s="8" t="s">
        <v>112</v>
      </c>
      <c r="C9" s="7" t="s">
        <v>22</v>
      </c>
      <c r="D9" s="8" t="s">
        <v>113</v>
      </c>
      <c r="E9" s="8" t="s">
        <v>114</v>
      </c>
      <c r="F9" s="8" t="s">
        <v>115</v>
      </c>
      <c r="G9" s="14" t="s">
        <v>85</v>
      </c>
      <c r="H9" s="8" t="s">
        <v>78</v>
      </c>
      <c r="I9" s="15" t="n">
        <v>1</v>
      </c>
      <c r="J9" s="15" t="n">
        <v>1</v>
      </c>
      <c r="K9" s="8" t="s">
        <v>116</v>
      </c>
      <c r="L9" s="8"/>
    </row>
    <row r="10" customFormat="false" ht="35.05" hidden="false" customHeight="false" outlineLevel="0" collapsed="false">
      <c r="A10" s="8" t="s">
        <v>117</v>
      </c>
      <c r="B10" s="8" t="s">
        <v>112</v>
      </c>
      <c r="C10" s="7" t="s">
        <v>28</v>
      </c>
      <c r="D10" s="8" t="s">
        <v>118</v>
      </c>
      <c r="E10" s="8" t="s">
        <v>119</v>
      </c>
      <c r="F10" s="8" t="s">
        <v>120</v>
      </c>
      <c r="G10" s="14" t="s">
        <v>85</v>
      </c>
      <c r="H10" s="8" t="s">
        <v>78</v>
      </c>
      <c r="I10" s="15" t="n">
        <v>1</v>
      </c>
      <c r="J10" s="15" t="n">
        <v>3</v>
      </c>
      <c r="K10" s="8" t="s">
        <v>116</v>
      </c>
      <c r="L10" s="8"/>
    </row>
    <row r="11" customFormat="false" ht="23.85" hidden="false" customHeight="false" outlineLevel="0" collapsed="false">
      <c r="A11" s="8" t="s">
        <v>121</v>
      </c>
      <c r="B11" s="8" t="s">
        <v>112</v>
      </c>
      <c r="C11" s="7" t="s">
        <v>26</v>
      </c>
      <c r="D11" s="8" t="s">
        <v>122</v>
      </c>
      <c r="E11" s="8" t="s">
        <v>123</v>
      </c>
      <c r="F11" s="8" t="s">
        <v>124</v>
      </c>
      <c r="G11" s="14" t="s">
        <v>85</v>
      </c>
      <c r="H11" s="8" t="s">
        <v>78</v>
      </c>
      <c r="I11" s="15" t="n">
        <v>0.5</v>
      </c>
      <c r="J11" s="15" t="n">
        <v>1</v>
      </c>
      <c r="K11" s="8" t="s">
        <v>116</v>
      </c>
      <c r="L11" s="8"/>
    </row>
    <row r="12" customFormat="false" ht="35.05" hidden="false" customHeight="false" outlineLevel="0" collapsed="false">
      <c r="A12" s="8" t="s">
        <v>125</v>
      </c>
      <c r="B12" s="8" t="s">
        <v>112</v>
      </c>
      <c r="C12" s="7" t="s">
        <v>22</v>
      </c>
      <c r="D12" s="8" t="s">
        <v>126</v>
      </c>
      <c r="E12" s="8" t="s">
        <v>127</v>
      </c>
      <c r="F12" s="8" t="s">
        <v>128</v>
      </c>
      <c r="G12" s="14" t="s">
        <v>85</v>
      </c>
      <c r="H12" s="8" t="s">
        <v>78</v>
      </c>
      <c r="I12" s="15" t="n">
        <v>1</v>
      </c>
      <c r="J12" s="15" t="n">
        <v>1.5</v>
      </c>
      <c r="K12" s="8" t="s">
        <v>116</v>
      </c>
      <c r="L12" s="8"/>
    </row>
    <row r="13" customFormat="false" ht="35.05" hidden="false" customHeight="false" outlineLevel="0" collapsed="false">
      <c r="A13" s="8" t="s">
        <v>129</v>
      </c>
      <c r="B13" s="8" t="s">
        <v>130</v>
      </c>
      <c r="C13" s="7" t="s">
        <v>22</v>
      </c>
      <c r="D13" s="8" t="s">
        <v>131</v>
      </c>
      <c r="E13" s="8" t="s">
        <v>132</v>
      </c>
      <c r="F13" s="8" t="s">
        <v>111</v>
      </c>
      <c r="G13" s="14" t="s">
        <v>85</v>
      </c>
      <c r="H13" s="8" t="s">
        <v>78</v>
      </c>
      <c r="I13" s="15" t="n">
        <v>0.5</v>
      </c>
      <c r="J13" s="15" t="n">
        <v>1</v>
      </c>
      <c r="K13" s="8" t="s">
        <v>133</v>
      </c>
      <c r="L13" s="8"/>
    </row>
    <row r="14" customFormat="false" ht="46.25" hidden="false" customHeight="false" outlineLevel="0" collapsed="false">
      <c r="A14" s="8" t="s">
        <v>134</v>
      </c>
      <c r="B14" s="8" t="s">
        <v>130</v>
      </c>
      <c r="C14" s="7" t="s">
        <v>24</v>
      </c>
      <c r="D14" s="8" t="s">
        <v>135</v>
      </c>
      <c r="E14" s="8" t="s">
        <v>136</v>
      </c>
      <c r="F14" s="8" t="s">
        <v>72</v>
      </c>
      <c r="G14" s="14" t="s">
        <v>85</v>
      </c>
      <c r="H14" s="8" t="s">
        <v>78</v>
      </c>
      <c r="I14" s="15" t="n">
        <v>0.5</v>
      </c>
      <c r="J14" s="15" t="n">
        <v>0.5</v>
      </c>
      <c r="K14" s="8" t="s">
        <v>133</v>
      </c>
      <c r="L14" s="8"/>
    </row>
    <row r="15" customFormat="false" ht="35.05" hidden="false" customHeight="false" outlineLevel="0" collapsed="false">
      <c r="A15" s="8" t="s">
        <v>137</v>
      </c>
      <c r="B15" s="8" t="s">
        <v>130</v>
      </c>
      <c r="C15" s="7" t="s">
        <v>24</v>
      </c>
      <c r="D15" s="8" t="s">
        <v>138</v>
      </c>
      <c r="E15" s="8" t="s">
        <v>139</v>
      </c>
      <c r="F15" s="8" t="s">
        <v>140</v>
      </c>
      <c r="G15" s="14" t="s">
        <v>85</v>
      </c>
      <c r="H15" s="8" t="s">
        <v>78</v>
      </c>
      <c r="I15" s="15" t="n">
        <v>0.5</v>
      </c>
      <c r="J15" s="15" t="n">
        <v>1</v>
      </c>
      <c r="K15" s="8" t="s">
        <v>133</v>
      </c>
      <c r="L15" s="8"/>
    </row>
    <row r="16" customFormat="false" ht="35.05" hidden="false" customHeight="false" outlineLevel="0" collapsed="false">
      <c r="A16" s="8" t="s">
        <v>141</v>
      </c>
      <c r="B16" s="8" t="s">
        <v>130</v>
      </c>
      <c r="C16" s="7" t="s">
        <v>28</v>
      </c>
      <c r="D16" s="8" t="s">
        <v>142</v>
      </c>
      <c r="E16" s="8" t="s">
        <v>143</v>
      </c>
      <c r="F16" s="8" t="s">
        <v>144</v>
      </c>
      <c r="G16" s="14" t="s">
        <v>85</v>
      </c>
      <c r="H16" s="8" t="s">
        <v>78</v>
      </c>
      <c r="I16" s="15" t="n">
        <v>2</v>
      </c>
      <c r="J16" s="15" t="n">
        <v>4</v>
      </c>
      <c r="K16" s="8" t="s">
        <v>133</v>
      </c>
      <c r="L16" s="8"/>
    </row>
    <row r="17" customFormat="false" ht="46.25" hidden="false" customHeight="false" outlineLevel="0" collapsed="false">
      <c r="A17" s="8" t="s">
        <v>145</v>
      </c>
      <c r="B17" s="8" t="s">
        <v>130</v>
      </c>
      <c r="C17" s="7" t="s">
        <v>26</v>
      </c>
      <c r="D17" s="8" t="s">
        <v>146</v>
      </c>
      <c r="E17" s="8" t="s">
        <v>147</v>
      </c>
      <c r="F17" s="8" t="s">
        <v>148</v>
      </c>
      <c r="G17" s="14" t="s">
        <v>85</v>
      </c>
      <c r="H17" s="8" t="s">
        <v>78</v>
      </c>
      <c r="I17" s="15" t="n">
        <v>2</v>
      </c>
      <c r="J17" s="15" t="n">
        <v>4</v>
      </c>
      <c r="K17" s="8" t="s">
        <v>133</v>
      </c>
      <c r="L17" s="8"/>
    </row>
    <row r="18" customFormat="false" ht="23.85" hidden="false" customHeight="false" outlineLevel="0" collapsed="false">
      <c r="A18" s="8" t="s">
        <v>149</v>
      </c>
      <c r="B18" s="8" t="s">
        <v>130</v>
      </c>
      <c r="C18" s="7" t="s">
        <v>22</v>
      </c>
      <c r="D18" s="8" t="s">
        <v>150</v>
      </c>
      <c r="E18" s="8" t="s">
        <v>151</v>
      </c>
      <c r="F18" s="8" t="s">
        <v>152</v>
      </c>
      <c r="G18" s="14" t="s">
        <v>85</v>
      </c>
      <c r="H18" s="8" t="s">
        <v>78</v>
      </c>
      <c r="I18" s="15" t="n">
        <v>0.5</v>
      </c>
      <c r="J18" s="15" t="n">
        <v>0.5</v>
      </c>
      <c r="K18" s="8" t="s">
        <v>133</v>
      </c>
      <c r="L18" s="8"/>
    </row>
    <row r="19" customFormat="false" ht="23.85" hidden="false" customHeight="false" outlineLevel="0" collapsed="false">
      <c r="A19" s="8" t="s">
        <v>153</v>
      </c>
      <c r="B19" s="8" t="s">
        <v>154</v>
      </c>
      <c r="C19" s="7" t="s">
        <v>22</v>
      </c>
      <c r="D19" s="8" t="s">
        <v>155</v>
      </c>
      <c r="E19" s="8" t="s">
        <v>156</v>
      </c>
      <c r="F19" s="8" t="s">
        <v>111</v>
      </c>
      <c r="G19" s="14" t="s">
        <v>85</v>
      </c>
      <c r="H19" s="8" t="s">
        <v>78</v>
      </c>
      <c r="I19" s="15" t="n">
        <v>0.5</v>
      </c>
      <c r="J19" s="15" t="n">
        <v>0.5</v>
      </c>
      <c r="K19" s="8" t="s">
        <v>157</v>
      </c>
      <c r="L19" s="8"/>
    </row>
    <row r="20" customFormat="false" ht="23.85" hidden="false" customHeight="false" outlineLevel="0" collapsed="false">
      <c r="A20" s="8" t="s">
        <v>158</v>
      </c>
      <c r="B20" s="8" t="s">
        <v>154</v>
      </c>
      <c r="C20" s="7" t="s">
        <v>24</v>
      </c>
      <c r="D20" s="8" t="s">
        <v>159</v>
      </c>
      <c r="E20" s="8" t="s">
        <v>160</v>
      </c>
      <c r="F20" s="8" t="s">
        <v>111</v>
      </c>
      <c r="G20" s="14" t="s">
        <v>85</v>
      </c>
      <c r="H20" s="8" t="s">
        <v>78</v>
      </c>
      <c r="I20" s="15" t="n">
        <v>1</v>
      </c>
      <c r="J20" s="15" t="n">
        <v>2</v>
      </c>
      <c r="K20" s="8" t="s">
        <v>157</v>
      </c>
      <c r="L20" s="8"/>
    </row>
    <row r="21" customFormat="false" ht="35.05" hidden="false" customHeight="false" outlineLevel="0" collapsed="false">
      <c r="A21" s="8" t="s">
        <v>161</v>
      </c>
      <c r="B21" s="8" t="s">
        <v>154</v>
      </c>
      <c r="C21" s="7" t="s">
        <v>26</v>
      </c>
      <c r="D21" s="8" t="s">
        <v>162</v>
      </c>
      <c r="E21" s="8" t="s">
        <v>163</v>
      </c>
      <c r="F21" s="8" t="s">
        <v>164</v>
      </c>
      <c r="G21" s="14" t="s">
        <v>85</v>
      </c>
      <c r="H21" s="8" t="s">
        <v>78</v>
      </c>
      <c r="I21" s="15" t="n">
        <v>0.5</v>
      </c>
      <c r="J21" s="15" t="n">
        <v>1</v>
      </c>
      <c r="K21" s="8" t="s">
        <v>157</v>
      </c>
      <c r="L21" s="8"/>
    </row>
    <row r="22" customFormat="false" ht="35.05" hidden="false" customHeight="false" outlineLevel="0" collapsed="false">
      <c r="A22" s="8" t="s">
        <v>165</v>
      </c>
      <c r="B22" s="8" t="s">
        <v>154</v>
      </c>
      <c r="C22" s="7" t="s">
        <v>28</v>
      </c>
      <c r="D22" s="8" t="s">
        <v>166</v>
      </c>
      <c r="E22" s="8" t="s">
        <v>167</v>
      </c>
      <c r="F22" s="8" t="s">
        <v>168</v>
      </c>
      <c r="G22" s="14" t="s">
        <v>85</v>
      </c>
      <c r="H22" s="8" t="s">
        <v>78</v>
      </c>
      <c r="I22" s="15" t="n">
        <v>6</v>
      </c>
      <c r="J22" s="15" t="n">
        <v>10</v>
      </c>
      <c r="K22" s="8" t="s">
        <v>157</v>
      </c>
      <c r="L22" s="8" t="s">
        <v>169</v>
      </c>
    </row>
    <row r="23" customFormat="false" ht="15" hidden="false" customHeight="false" outlineLevel="0" collapsed="false">
      <c r="A23" s="8" t="s">
        <v>170</v>
      </c>
      <c r="B23" s="8" t="s">
        <v>154</v>
      </c>
      <c r="C23" s="7" t="s">
        <v>28</v>
      </c>
      <c r="D23" s="8" t="s">
        <v>171</v>
      </c>
      <c r="E23" s="8" t="s">
        <v>172</v>
      </c>
      <c r="F23" s="8" t="s">
        <v>173</v>
      </c>
      <c r="G23" s="14" t="s">
        <v>85</v>
      </c>
      <c r="H23" s="8" t="s">
        <v>78</v>
      </c>
      <c r="I23" s="15" t="n">
        <v>0.5</v>
      </c>
      <c r="J23" s="15" t="n">
        <v>0.5</v>
      </c>
      <c r="K23" s="8" t="s">
        <v>157</v>
      </c>
      <c r="L23" s="8"/>
    </row>
    <row r="24" customFormat="false" ht="23.85" hidden="false" customHeight="false" outlineLevel="0" collapsed="false">
      <c r="A24" s="8" t="s">
        <v>174</v>
      </c>
      <c r="B24" s="8" t="s">
        <v>154</v>
      </c>
      <c r="C24" s="7" t="s">
        <v>26</v>
      </c>
      <c r="D24" s="8" t="s">
        <v>175</v>
      </c>
      <c r="E24" s="8" t="s">
        <v>176</v>
      </c>
      <c r="F24" s="8" t="s">
        <v>177</v>
      </c>
      <c r="G24" s="14" t="s">
        <v>85</v>
      </c>
      <c r="H24" s="8" t="s">
        <v>78</v>
      </c>
      <c r="I24" s="15" t="n">
        <v>4</v>
      </c>
      <c r="J24" s="15" t="n">
        <v>8</v>
      </c>
      <c r="K24" s="8" t="s">
        <v>157</v>
      </c>
      <c r="L24" s="8"/>
    </row>
    <row r="25" customFormat="false" ht="23.85" hidden="false" customHeight="false" outlineLevel="0" collapsed="false">
      <c r="A25" s="8" t="s">
        <v>178</v>
      </c>
      <c r="B25" s="8" t="s">
        <v>154</v>
      </c>
      <c r="C25" s="7" t="s">
        <v>28</v>
      </c>
      <c r="D25" s="8" t="s">
        <v>179</v>
      </c>
      <c r="E25" s="8" t="s">
        <v>180</v>
      </c>
      <c r="F25" s="8" t="s">
        <v>72</v>
      </c>
      <c r="G25" s="14" t="s">
        <v>85</v>
      </c>
      <c r="H25" s="8" t="s">
        <v>78</v>
      </c>
      <c r="I25" s="15" t="n">
        <v>0.5</v>
      </c>
      <c r="J25" s="15" t="n">
        <v>1</v>
      </c>
      <c r="K25" s="8" t="s">
        <v>157</v>
      </c>
      <c r="L25" s="8"/>
    </row>
    <row r="26" customFormat="false" ht="35.05" hidden="false" customHeight="false" outlineLevel="0" collapsed="false">
      <c r="A26" s="8" t="s">
        <v>181</v>
      </c>
      <c r="B26" s="8" t="s">
        <v>182</v>
      </c>
      <c r="C26" s="7" t="s">
        <v>22</v>
      </c>
      <c r="D26" s="8" t="s">
        <v>183</v>
      </c>
      <c r="E26" s="8" t="s">
        <v>184</v>
      </c>
      <c r="F26" s="8" t="s">
        <v>185</v>
      </c>
      <c r="G26" s="14" t="s">
        <v>85</v>
      </c>
      <c r="H26" s="8" t="s">
        <v>78</v>
      </c>
      <c r="I26" s="15" t="n">
        <v>0.5</v>
      </c>
      <c r="J26" s="15" t="n">
        <v>1</v>
      </c>
      <c r="K26" s="8" t="s">
        <v>186</v>
      </c>
      <c r="L26" s="8"/>
    </row>
    <row r="27" customFormat="false" ht="35.05" hidden="false" customHeight="false" outlineLevel="0" collapsed="false">
      <c r="A27" s="8" t="s">
        <v>187</v>
      </c>
      <c r="B27" s="8" t="s">
        <v>182</v>
      </c>
      <c r="C27" s="7" t="s">
        <v>22</v>
      </c>
      <c r="D27" s="8" t="s">
        <v>188</v>
      </c>
      <c r="E27" s="8" t="s">
        <v>189</v>
      </c>
      <c r="F27" s="8" t="s">
        <v>181</v>
      </c>
      <c r="G27" s="14" t="s">
        <v>85</v>
      </c>
      <c r="H27" s="8" t="s">
        <v>78</v>
      </c>
      <c r="I27" s="15" t="n">
        <v>1</v>
      </c>
      <c r="J27" s="15" t="n">
        <v>1.5</v>
      </c>
      <c r="K27" s="8" t="s">
        <v>186</v>
      </c>
      <c r="L27" s="8"/>
    </row>
    <row r="28" customFormat="false" ht="35.05" hidden="false" customHeight="false" outlineLevel="0" collapsed="false">
      <c r="A28" s="8" t="s">
        <v>173</v>
      </c>
      <c r="B28" s="8" t="s">
        <v>182</v>
      </c>
      <c r="C28" s="7" t="s">
        <v>22</v>
      </c>
      <c r="D28" s="8" t="s">
        <v>190</v>
      </c>
      <c r="E28" s="8" t="s">
        <v>191</v>
      </c>
      <c r="F28" s="8" t="s">
        <v>181</v>
      </c>
      <c r="G28" s="14" t="s">
        <v>85</v>
      </c>
      <c r="H28" s="8" t="s">
        <v>78</v>
      </c>
      <c r="I28" s="15" t="n">
        <v>0.5</v>
      </c>
      <c r="J28" s="15" t="n">
        <v>0.5</v>
      </c>
      <c r="K28" s="8" t="s">
        <v>186</v>
      </c>
      <c r="L28" s="8"/>
    </row>
    <row r="29" customFormat="false" ht="35.05" hidden="false" customHeight="false" outlineLevel="0" collapsed="false">
      <c r="A29" s="8" t="s">
        <v>192</v>
      </c>
      <c r="B29" s="8" t="s">
        <v>182</v>
      </c>
      <c r="C29" s="7" t="s">
        <v>22</v>
      </c>
      <c r="D29" s="8" t="s">
        <v>193</v>
      </c>
      <c r="E29" s="8" t="s">
        <v>194</v>
      </c>
      <c r="F29" s="8" t="s">
        <v>81</v>
      </c>
      <c r="G29" s="14" t="s">
        <v>85</v>
      </c>
      <c r="H29" s="8" t="s">
        <v>78</v>
      </c>
      <c r="I29" s="15" t="n">
        <v>0.5</v>
      </c>
      <c r="J29" s="15" t="n">
        <v>0.5</v>
      </c>
      <c r="K29" s="8" t="s">
        <v>186</v>
      </c>
      <c r="L29" s="8"/>
    </row>
    <row r="30" customFormat="false" ht="23.85" hidden="false" customHeight="false" outlineLevel="0" collapsed="false">
      <c r="A30" s="8" t="s">
        <v>140</v>
      </c>
      <c r="B30" s="8" t="s">
        <v>195</v>
      </c>
      <c r="C30" s="7" t="s">
        <v>24</v>
      </c>
      <c r="D30" s="8" t="s">
        <v>196</v>
      </c>
      <c r="E30" s="8" t="s">
        <v>197</v>
      </c>
      <c r="F30" s="8" t="s">
        <v>198</v>
      </c>
      <c r="G30" s="14" t="s">
        <v>199</v>
      </c>
      <c r="H30" s="8" t="s">
        <v>200</v>
      </c>
      <c r="I30" s="15" t="n">
        <v>1</v>
      </c>
      <c r="J30" s="15" t="n">
        <v>1</v>
      </c>
      <c r="K30" s="8" t="s">
        <v>201</v>
      </c>
      <c r="L30" s="8" t="s">
        <v>202</v>
      </c>
    </row>
    <row r="31" customFormat="false" ht="23.85" hidden="false" customHeight="false" outlineLevel="0" collapsed="false">
      <c r="A31" s="8" t="s">
        <v>203</v>
      </c>
      <c r="B31" s="8" t="s">
        <v>195</v>
      </c>
      <c r="C31" s="7" t="s">
        <v>24</v>
      </c>
      <c r="D31" s="8" t="s">
        <v>204</v>
      </c>
      <c r="E31" s="8" t="s">
        <v>205</v>
      </c>
      <c r="F31" s="8" t="s">
        <v>198</v>
      </c>
      <c r="G31" s="14" t="s">
        <v>199</v>
      </c>
      <c r="H31" s="8" t="s">
        <v>200</v>
      </c>
      <c r="I31" s="15" t="n">
        <v>1</v>
      </c>
      <c r="J31" s="15" t="n">
        <v>1</v>
      </c>
      <c r="K31" s="8" t="s">
        <v>206</v>
      </c>
      <c r="L31" s="8"/>
    </row>
    <row r="32" customFormat="false" ht="23.85" hidden="false" customHeight="false" outlineLevel="0" collapsed="false">
      <c r="A32" s="8" t="s">
        <v>207</v>
      </c>
      <c r="B32" s="8" t="s">
        <v>195</v>
      </c>
      <c r="C32" s="7" t="s">
        <v>28</v>
      </c>
      <c r="D32" s="8" t="s">
        <v>208</v>
      </c>
      <c r="E32" s="8" t="s">
        <v>205</v>
      </c>
      <c r="F32" s="8" t="s">
        <v>198</v>
      </c>
      <c r="G32" s="14" t="s">
        <v>199</v>
      </c>
      <c r="H32" s="8" t="s">
        <v>200</v>
      </c>
      <c r="I32" s="15" t="n">
        <v>1</v>
      </c>
      <c r="J32" s="15" t="n">
        <v>2</v>
      </c>
      <c r="K32" s="8" t="s">
        <v>206</v>
      </c>
      <c r="L32" s="8"/>
    </row>
    <row r="33" customFormat="false" ht="23.85" hidden="false" customHeight="false" outlineLevel="0" collapsed="false">
      <c r="A33" s="8" t="s">
        <v>209</v>
      </c>
      <c r="B33" s="8" t="s">
        <v>195</v>
      </c>
      <c r="C33" s="7" t="s">
        <v>26</v>
      </c>
      <c r="D33" s="8" t="s">
        <v>210</v>
      </c>
      <c r="E33" s="8" t="s">
        <v>205</v>
      </c>
      <c r="F33" s="8" t="s">
        <v>211</v>
      </c>
      <c r="G33" s="14" t="s">
        <v>212</v>
      </c>
      <c r="H33" s="8" t="s">
        <v>200</v>
      </c>
      <c r="I33" s="15" t="n">
        <v>1</v>
      </c>
      <c r="J33" s="15" t="n">
        <v>2</v>
      </c>
      <c r="K33" s="8" t="s">
        <v>206</v>
      </c>
      <c r="L33" s="8" t="s">
        <v>213</v>
      </c>
    </row>
    <row r="34" customFormat="false" ht="35.05" hidden="false" customHeight="false" outlineLevel="0" collapsed="false">
      <c r="A34" s="8" t="s">
        <v>214</v>
      </c>
      <c r="B34" s="8" t="s">
        <v>215</v>
      </c>
      <c r="C34" s="7" t="s">
        <v>22</v>
      </c>
      <c r="D34" s="8" t="s">
        <v>216</v>
      </c>
      <c r="E34" s="8" t="s">
        <v>217</v>
      </c>
      <c r="F34" s="8" t="s">
        <v>218</v>
      </c>
      <c r="G34" s="14" t="s">
        <v>85</v>
      </c>
      <c r="H34" s="8" t="s">
        <v>78</v>
      </c>
      <c r="I34" s="15" t="n">
        <v>1</v>
      </c>
      <c r="J34" s="15" t="n">
        <v>1</v>
      </c>
      <c r="K34" s="8" t="s">
        <v>219</v>
      </c>
      <c r="L34" s="8"/>
    </row>
  </sheetData>
  <autoFilter ref="A1:L34"/>
  <conditionalFormatting sqref="G2:G200">
    <cfRule type="expression" priority="2" aboveAverage="0" equalAverage="0" bottom="0" percent="0" rank="0" text="" dxfId="8">
      <formula>LEFT($G2,4)="Done"</formula>
    </cfRule>
    <cfRule type="expression" priority="3" aboveAverage="0" equalAverage="0" bottom="0" percent="0" rank="0" text="" dxfId="9">
      <formula>$G2="Partly done"</formula>
    </cfRule>
    <cfRule type="expression" priority="4" aboveAverage="0" equalAverage="0" bottom="0" percent="0" rank="0" text="" dxfId="10">
      <formula>$G2="Waiting decision"</formula>
    </cfRule>
    <cfRule type="expression" priority="5" aboveAverage="0" equalAverage="0" bottom="0" percent="0" rank="0" text="" dxfId="11">
      <formula>$G2="Blocked (hardware)"</formula>
    </cfRule>
  </conditionalFormatting>
  <dataValidations count="2">
    <dataValidation allowBlank="true" errorStyle="stop" operator="between" showDropDown="false" showErrorMessage="false" showInputMessage="false" sqref="G2:G200" type="list">
      <formula1>"Not started,Waiting decision,In progress,Partly done,Done,Done (static),On request,Blocked (hardware),Dropped"</formula1>
      <formula2>0</formula2>
    </dataValidation>
    <dataValidation allowBlank="false" errorStyle="stop" operator="between" showDropDown="false" showErrorMessage="false" showInputMessage="false" sqref="C2:C200" type="list">
      <formula1>"C,M,AS,L"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46"/>
    <col collapsed="false" customWidth="true" hidden="false" outlineLevel="0" max="4" min="4" style="0" width="22"/>
    <col collapsed="false" customWidth="true" hidden="false" outlineLevel="0" max="5" min="5" style="0" width="50"/>
    <col collapsed="false" customWidth="true" hidden="false" outlineLevel="0" max="6" min="6" style="0" width="30"/>
    <col collapsed="false" customWidth="true" hidden="false" outlineLevel="0" max="7" min="7" style="0" width="10"/>
    <col collapsed="false" customWidth="true" hidden="false" outlineLevel="0" max="8" min="8" style="0" width="34"/>
  </cols>
  <sheetData>
    <row r="1" customFormat="false" ht="15" hidden="false" customHeight="false" outlineLevel="0" collapsed="false">
      <c r="A1" s="6" t="s">
        <v>62</v>
      </c>
      <c r="B1" s="6" t="s">
        <v>220</v>
      </c>
      <c r="C1" s="6" t="s">
        <v>221</v>
      </c>
      <c r="D1" s="6" t="s">
        <v>13</v>
      </c>
      <c r="E1" s="6" t="s">
        <v>222</v>
      </c>
      <c r="F1" s="6" t="s">
        <v>223</v>
      </c>
      <c r="G1" s="6" t="s">
        <v>47</v>
      </c>
      <c r="H1" s="6" t="s">
        <v>224</v>
      </c>
    </row>
    <row r="2" customFormat="false" ht="35.05" hidden="false" customHeight="false" outlineLevel="0" collapsed="false">
      <c r="A2" s="8" t="s">
        <v>225</v>
      </c>
      <c r="B2" s="8" t="s">
        <v>226</v>
      </c>
      <c r="C2" s="8" t="s">
        <v>227</v>
      </c>
      <c r="D2" s="8" t="s">
        <v>228</v>
      </c>
      <c r="E2" s="8" t="s">
        <v>229</v>
      </c>
      <c r="F2" s="8" t="s">
        <v>230</v>
      </c>
      <c r="G2" s="14" t="s">
        <v>231</v>
      </c>
      <c r="H2" s="16"/>
    </row>
    <row r="3" customFormat="false" ht="23.85" hidden="false" customHeight="false" outlineLevel="0" collapsed="false">
      <c r="A3" s="8" t="s">
        <v>232</v>
      </c>
      <c r="B3" s="8" t="s">
        <v>233</v>
      </c>
      <c r="C3" s="8" t="s">
        <v>234</v>
      </c>
      <c r="D3" s="8" t="s">
        <v>235</v>
      </c>
      <c r="E3" s="8" t="s">
        <v>236</v>
      </c>
      <c r="F3" s="8" t="s">
        <v>237</v>
      </c>
      <c r="G3" s="14" t="s">
        <v>231</v>
      </c>
      <c r="H3" s="16"/>
    </row>
    <row r="4" customFormat="false" ht="23.85" hidden="false" customHeight="false" outlineLevel="0" collapsed="false">
      <c r="A4" s="8" t="s">
        <v>94</v>
      </c>
      <c r="B4" s="8" t="s">
        <v>238</v>
      </c>
      <c r="C4" s="8" t="s">
        <v>239</v>
      </c>
      <c r="D4" s="8" t="s">
        <v>240</v>
      </c>
      <c r="E4" s="8" t="s">
        <v>241</v>
      </c>
      <c r="F4" s="8" t="s">
        <v>242</v>
      </c>
      <c r="G4" s="14" t="s">
        <v>231</v>
      </c>
      <c r="H4" s="16"/>
    </row>
    <row r="5" customFormat="false" ht="35.05" hidden="false" customHeight="false" outlineLevel="0" collapsed="false">
      <c r="A5" s="8" t="s">
        <v>243</v>
      </c>
      <c r="B5" s="8" t="s">
        <v>244</v>
      </c>
      <c r="C5" s="8" t="s">
        <v>245</v>
      </c>
      <c r="D5" s="8" t="s">
        <v>246</v>
      </c>
      <c r="E5" s="8" t="s">
        <v>247</v>
      </c>
      <c r="F5" s="8" t="s">
        <v>248</v>
      </c>
      <c r="G5" s="14" t="s">
        <v>231</v>
      </c>
      <c r="H5" s="16"/>
    </row>
    <row r="6" customFormat="false" ht="23.85" hidden="false" customHeight="false" outlineLevel="0" collapsed="false">
      <c r="A6" s="8" t="s">
        <v>249</v>
      </c>
      <c r="B6" s="8" t="s">
        <v>250</v>
      </c>
      <c r="C6" s="8" t="s">
        <v>251</v>
      </c>
      <c r="D6" s="8" t="s">
        <v>252</v>
      </c>
      <c r="E6" s="8" t="s">
        <v>253</v>
      </c>
      <c r="F6" s="8" t="s">
        <v>181</v>
      </c>
      <c r="G6" s="14" t="s">
        <v>231</v>
      </c>
      <c r="H6" s="16"/>
    </row>
    <row r="7" customFormat="false" ht="23.85" hidden="false" customHeight="false" outlineLevel="0" collapsed="false">
      <c r="A7" s="8" t="s">
        <v>254</v>
      </c>
      <c r="B7" s="8" t="s">
        <v>255</v>
      </c>
      <c r="C7" s="8" t="s">
        <v>256</v>
      </c>
      <c r="D7" s="8" t="s">
        <v>257</v>
      </c>
      <c r="E7" s="8" t="s">
        <v>258</v>
      </c>
      <c r="F7" s="8" t="s">
        <v>259</v>
      </c>
      <c r="G7" s="14" t="s">
        <v>231</v>
      </c>
      <c r="H7" s="16"/>
    </row>
    <row r="8" customFormat="false" ht="23.85" hidden="false" customHeight="false" outlineLevel="0" collapsed="false">
      <c r="A8" s="8" t="s">
        <v>260</v>
      </c>
      <c r="B8" s="8" t="s">
        <v>261</v>
      </c>
      <c r="C8" s="8" t="s">
        <v>262</v>
      </c>
      <c r="D8" s="8" t="s">
        <v>263</v>
      </c>
      <c r="E8" s="8" t="s">
        <v>264</v>
      </c>
      <c r="F8" s="8" t="s">
        <v>265</v>
      </c>
      <c r="G8" s="14" t="s">
        <v>231</v>
      </c>
      <c r="H8" s="16"/>
    </row>
    <row r="9" customFormat="false" ht="35.05" hidden="false" customHeight="false" outlineLevel="0" collapsed="false">
      <c r="A9" s="8" t="s">
        <v>177</v>
      </c>
      <c r="B9" s="8" t="s">
        <v>266</v>
      </c>
      <c r="C9" s="8" t="s">
        <v>267</v>
      </c>
      <c r="D9" s="8" t="s">
        <v>252</v>
      </c>
      <c r="E9" s="8" t="s">
        <v>268</v>
      </c>
      <c r="F9" s="8" t="s">
        <v>174</v>
      </c>
      <c r="G9" s="14" t="s">
        <v>231</v>
      </c>
      <c r="H9" s="16"/>
    </row>
    <row r="10" customFormat="false" ht="23.85" hidden="false" customHeight="false" outlineLevel="0" collapsed="false">
      <c r="A10" s="8" t="s">
        <v>269</v>
      </c>
      <c r="B10" s="8" t="s">
        <v>270</v>
      </c>
      <c r="C10" s="8" t="s">
        <v>271</v>
      </c>
      <c r="D10" s="8" t="s">
        <v>272</v>
      </c>
      <c r="E10" s="8" t="s">
        <v>273</v>
      </c>
      <c r="F10" s="8" t="s">
        <v>274</v>
      </c>
      <c r="G10" s="14" t="s">
        <v>231</v>
      </c>
      <c r="H10" s="16"/>
    </row>
    <row r="11" customFormat="false" ht="23.85" hidden="false" customHeight="false" outlineLevel="0" collapsed="false">
      <c r="A11" s="8" t="s">
        <v>275</v>
      </c>
      <c r="B11" s="8" t="s">
        <v>276</v>
      </c>
      <c r="C11" s="8" t="s">
        <v>277</v>
      </c>
      <c r="D11" s="8" t="s">
        <v>263</v>
      </c>
      <c r="E11" s="8" t="s">
        <v>278</v>
      </c>
      <c r="F11" s="8" t="s">
        <v>121</v>
      </c>
      <c r="G11" s="14" t="s">
        <v>231</v>
      </c>
      <c r="H11" s="16"/>
    </row>
  </sheetData>
  <autoFilter ref="A1:H11"/>
  <conditionalFormatting sqref="G2:G100">
    <cfRule type="expression" priority="2" aboveAverage="0" equalAverage="0" bottom="0" percent="0" rank="0" text="" dxfId="8">
      <formula>$G2="Answered"</formula>
    </cfRule>
    <cfRule type="expression" priority="3" aboveAverage="0" equalAverage="0" bottom="0" percent="0" rank="0" text="" dxfId="10">
      <formula>$G2="Open"</formula>
    </cfRule>
  </conditionalFormatting>
  <dataValidations count="1">
    <dataValidation allowBlank="false" errorStyle="stop" operator="between" showDropDown="false" showErrorMessage="false" showInputMessage="false" sqref="G2:G100" type="list">
      <formula1>"Open,Answered,Deferred"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5"/>
    <col collapsed="false" customWidth="true" hidden="false" outlineLevel="0" max="3" min="3" style="0" width="10"/>
    <col collapsed="false" customWidth="true" hidden="false" outlineLevel="0" max="4" min="4" style="0" width="6"/>
    <col collapsed="false" customWidth="true" hidden="false" outlineLevel="0" max="5" min="5" style="0" width="24"/>
    <col collapsed="false" customWidth="true" hidden="false" outlineLevel="0" max="7" min="6" style="0" width="26"/>
    <col collapsed="false" customWidth="true" hidden="false" outlineLevel="0" max="8" min="8" style="0" width="28"/>
    <col collapsed="false" customWidth="true" hidden="false" outlineLevel="0" max="9" min="9" style="0" width="22"/>
    <col collapsed="false" customWidth="true" hidden="false" outlineLevel="0" max="11" min="10" style="0" width="14"/>
    <col collapsed="false" customWidth="true" hidden="false" outlineLevel="0" max="12" min="12" style="0" width="16"/>
    <col collapsed="false" customWidth="true" hidden="false" outlineLevel="0" max="14" min="13" style="0" width="22"/>
    <col collapsed="false" customWidth="true" hidden="false" outlineLevel="0" max="15" min="15" style="0" width="28"/>
    <col collapsed="false" customWidth="true" hidden="false" outlineLevel="0" max="16" min="16" style="0" width="22"/>
    <col collapsed="false" customWidth="true" hidden="false" outlineLevel="0" max="17" min="17" style="0" width="18"/>
  </cols>
  <sheetData>
    <row r="1" customFormat="false" ht="46.25" hidden="false" customHeight="false" outlineLevel="0" collapsed="false">
      <c r="A1" s="6" t="s">
        <v>279</v>
      </c>
      <c r="B1" s="6" t="s">
        <v>280</v>
      </c>
      <c r="C1" s="6" t="s">
        <v>281</v>
      </c>
      <c r="D1" s="6" t="s">
        <v>16</v>
      </c>
      <c r="E1" s="6" t="s">
        <v>282</v>
      </c>
      <c r="F1" s="6" t="s">
        <v>283</v>
      </c>
      <c r="G1" s="6" t="s">
        <v>284</v>
      </c>
      <c r="H1" s="6" t="s">
        <v>285</v>
      </c>
      <c r="I1" s="6" t="s">
        <v>286</v>
      </c>
      <c r="J1" s="6" t="s">
        <v>287</v>
      </c>
      <c r="K1" s="6" t="s">
        <v>288</v>
      </c>
      <c r="L1" s="6" t="s">
        <v>289</v>
      </c>
      <c r="M1" s="6" t="s">
        <v>290</v>
      </c>
      <c r="N1" s="6" t="s">
        <v>291</v>
      </c>
      <c r="O1" s="6" t="s">
        <v>292</v>
      </c>
      <c r="P1" s="6" t="s">
        <v>293</v>
      </c>
      <c r="Q1" s="6" t="s">
        <v>294</v>
      </c>
    </row>
    <row r="2" customFormat="false" ht="23.85" hidden="false" customHeight="false" outlineLevel="0" collapsed="false">
      <c r="A2" s="8" t="s">
        <v>295</v>
      </c>
      <c r="B2" s="8" t="s">
        <v>296</v>
      </c>
      <c r="C2" s="7" t="n">
        <v>10</v>
      </c>
      <c r="D2" s="7" t="s">
        <v>28</v>
      </c>
      <c r="E2" s="8" t="s">
        <v>297</v>
      </c>
      <c r="F2" s="8" t="s">
        <v>298</v>
      </c>
      <c r="G2" s="8" t="s">
        <v>299</v>
      </c>
      <c r="H2" s="8" t="s">
        <v>300</v>
      </c>
      <c r="I2" s="8" t="s">
        <v>301</v>
      </c>
      <c r="J2" s="8" t="s">
        <v>84</v>
      </c>
      <c r="K2" s="8" t="s">
        <v>84</v>
      </c>
      <c r="L2" s="8" t="s">
        <v>302</v>
      </c>
      <c r="M2" s="8" t="s">
        <v>303</v>
      </c>
      <c r="N2" s="8" t="s">
        <v>304</v>
      </c>
      <c r="O2" s="8" t="s">
        <v>305</v>
      </c>
      <c r="P2" s="8" t="s">
        <v>306</v>
      </c>
      <c r="Q2" s="8" t="s">
        <v>307</v>
      </c>
    </row>
    <row r="3" customFormat="false" ht="23.85" hidden="false" customHeight="false" outlineLevel="0" collapsed="false">
      <c r="A3" s="8" t="s">
        <v>308</v>
      </c>
      <c r="B3" s="8" t="s">
        <v>309</v>
      </c>
      <c r="C3" s="7" t="n">
        <v>11</v>
      </c>
      <c r="D3" s="7" t="s">
        <v>28</v>
      </c>
      <c r="E3" s="8" t="s">
        <v>310</v>
      </c>
      <c r="F3" s="8" t="s">
        <v>298</v>
      </c>
      <c r="G3" s="8" t="s">
        <v>299</v>
      </c>
      <c r="H3" s="8" t="s">
        <v>300</v>
      </c>
      <c r="I3" s="8" t="s">
        <v>301</v>
      </c>
      <c r="J3" s="8" t="s">
        <v>84</v>
      </c>
      <c r="K3" s="8" t="s">
        <v>84</v>
      </c>
      <c r="L3" s="8" t="s">
        <v>302</v>
      </c>
      <c r="M3" s="8" t="s">
        <v>311</v>
      </c>
      <c r="N3" s="8" t="s">
        <v>312</v>
      </c>
      <c r="O3" s="8" t="s">
        <v>313</v>
      </c>
      <c r="P3" s="8" t="s">
        <v>314</v>
      </c>
      <c r="Q3" s="8" t="s">
        <v>315</v>
      </c>
    </row>
    <row r="4" customFormat="false" ht="23.85" hidden="false" customHeight="false" outlineLevel="0" collapsed="false">
      <c r="A4" s="8" t="s">
        <v>316</v>
      </c>
      <c r="B4" s="8" t="s">
        <v>317</v>
      </c>
      <c r="C4" s="7" t="n">
        <v>12</v>
      </c>
      <c r="D4" s="7" t="s">
        <v>28</v>
      </c>
      <c r="E4" s="8" t="s">
        <v>318</v>
      </c>
      <c r="F4" s="8" t="s">
        <v>319</v>
      </c>
      <c r="G4" s="8" t="s">
        <v>299</v>
      </c>
      <c r="H4" s="8" t="s">
        <v>300</v>
      </c>
      <c r="I4" s="8" t="s">
        <v>301</v>
      </c>
      <c r="J4" s="8" t="s">
        <v>84</v>
      </c>
      <c r="K4" s="8" t="s">
        <v>84</v>
      </c>
      <c r="L4" s="8" t="s">
        <v>302</v>
      </c>
      <c r="M4" s="8" t="s">
        <v>311</v>
      </c>
      <c r="N4" s="8" t="s">
        <v>320</v>
      </c>
      <c r="O4" s="8" t="s">
        <v>321</v>
      </c>
      <c r="P4" s="8" t="s">
        <v>314</v>
      </c>
      <c r="Q4" s="8" t="s">
        <v>322</v>
      </c>
    </row>
    <row r="5" customFormat="false" ht="23.85" hidden="false" customHeight="false" outlineLevel="0" collapsed="false">
      <c r="A5" s="8" t="s">
        <v>323</v>
      </c>
      <c r="B5" s="8" t="s">
        <v>324</v>
      </c>
      <c r="C5" s="7" t="n">
        <v>13</v>
      </c>
      <c r="D5" s="7" t="s">
        <v>24</v>
      </c>
      <c r="E5" s="8" t="s">
        <v>318</v>
      </c>
      <c r="F5" s="8" t="s">
        <v>325</v>
      </c>
      <c r="G5" s="8" t="s">
        <v>326</v>
      </c>
      <c r="H5" s="8" t="s">
        <v>327</v>
      </c>
      <c r="I5" s="8" t="s">
        <v>328</v>
      </c>
      <c r="J5" s="8" t="s">
        <v>84</v>
      </c>
      <c r="K5" s="8" t="s">
        <v>84</v>
      </c>
      <c r="L5" s="8" t="s">
        <v>302</v>
      </c>
      <c r="M5" s="8" t="s">
        <v>329</v>
      </c>
      <c r="N5" s="8" t="s">
        <v>320</v>
      </c>
      <c r="O5" s="8" t="s">
        <v>321</v>
      </c>
      <c r="P5" s="8" t="s">
        <v>314</v>
      </c>
      <c r="Q5" s="8" t="s">
        <v>330</v>
      </c>
    </row>
    <row r="6" customFormat="false" ht="15" hidden="false" customHeight="false" outlineLevel="0" collapsed="false">
      <c r="A6" s="8" t="s">
        <v>331</v>
      </c>
      <c r="B6" s="8" t="s">
        <v>332</v>
      </c>
      <c r="C6" s="7" t="n">
        <v>14</v>
      </c>
      <c r="D6" s="7" t="s">
        <v>24</v>
      </c>
      <c r="E6" s="8" t="s">
        <v>318</v>
      </c>
      <c r="F6" s="8" t="s">
        <v>333</v>
      </c>
      <c r="G6" s="8" t="s">
        <v>326</v>
      </c>
      <c r="H6" s="8" t="s">
        <v>334</v>
      </c>
      <c r="I6" s="8" t="s">
        <v>328</v>
      </c>
      <c r="J6" s="8" t="s">
        <v>84</v>
      </c>
      <c r="K6" s="8" t="s">
        <v>84</v>
      </c>
      <c r="L6" s="8" t="s">
        <v>302</v>
      </c>
      <c r="M6" s="8" t="s">
        <v>329</v>
      </c>
      <c r="N6" s="8" t="s">
        <v>320</v>
      </c>
      <c r="O6" s="8" t="s">
        <v>321</v>
      </c>
      <c r="P6" s="8" t="s">
        <v>314</v>
      </c>
      <c r="Q6" s="8" t="s">
        <v>335</v>
      </c>
    </row>
    <row r="7" customFormat="false" ht="15" hidden="false" customHeight="false" outlineLevel="0" collapsed="false">
      <c r="A7" s="8" t="s">
        <v>336</v>
      </c>
      <c r="B7" s="8" t="s">
        <v>337</v>
      </c>
      <c r="C7" s="7" t="n">
        <v>15</v>
      </c>
      <c r="D7" s="7" t="s">
        <v>24</v>
      </c>
      <c r="E7" s="8" t="s">
        <v>318</v>
      </c>
      <c r="F7" s="8" t="s">
        <v>333</v>
      </c>
      <c r="G7" s="8" t="s">
        <v>326</v>
      </c>
      <c r="H7" s="8" t="s">
        <v>338</v>
      </c>
      <c r="I7" s="8" t="s">
        <v>328</v>
      </c>
      <c r="J7" s="8" t="s">
        <v>84</v>
      </c>
      <c r="K7" s="8" t="s">
        <v>84</v>
      </c>
      <c r="L7" s="8" t="s">
        <v>302</v>
      </c>
      <c r="M7" s="8" t="s">
        <v>329</v>
      </c>
      <c r="N7" s="8" t="s">
        <v>320</v>
      </c>
      <c r="O7" s="8" t="s">
        <v>321</v>
      </c>
      <c r="P7" s="8" t="s">
        <v>314</v>
      </c>
      <c r="Q7" s="8" t="s">
        <v>335</v>
      </c>
    </row>
    <row r="8" customFormat="false" ht="15" hidden="false" customHeight="false" outlineLevel="0" collapsed="false">
      <c r="A8" s="8" t="s">
        <v>339</v>
      </c>
      <c r="B8" s="8" t="s">
        <v>340</v>
      </c>
      <c r="C8" s="7" t="n">
        <v>16</v>
      </c>
      <c r="D8" s="7" t="s">
        <v>24</v>
      </c>
      <c r="E8" s="8" t="s">
        <v>318</v>
      </c>
      <c r="F8" s="8" t="s">
        <v>333</v>
      </c>
      <c r="G8" s="8" t="s">
        <v>326</v>
      </c>
      <c r="H8" s="8" t="s">
        <v>341</v>
      </c>
      <c r="I8" s="8" t="s">
        <v>328</v>
      </c>
      <c r="J8" s="8" t="s">
        <v>84</v>
      </c>
      <c r="K8" s="8" t="s">
        <v>84</v>
      </c>
      <c r="L8" s="8" t="s">
        <v>302</v>
      </c>
      <c r="M8" s="8" t="s">
        <v>329</v>
      </c>
      <c r="N8" s="8" t="s">
        <v>320</v>
      </c>
      <c r="O8" s="8" t="s">
        <v>321</v>
      </c>
      <c r="P8" s="8" t="s">
        <v>314</v>
      </c>
      <c r="Q8" s="8" t="s">
        <v>335</v>
      </c>
    </row>
    <row r="9" customFormat="false" ht="15" hidden="false" customHeight="false" outlineLevel="0" collapsed="false">
      <c r="A9" s="8" t="s">
        <v>342</v>
      </c>
      <c r="B9" s="8" t="s">
        <v>343</v>
      </c>
      <c r="C9" s="7" t="n">
        <v>17</v>
      </c>
      <c r="D9" s="7" t="s">
        <v>24</v>
      </c>
      <c r="E9" s="8" t="s">
        <v>318</v>
      </c>
      <c r="F9" s="8" t="s">
        <v>344</v>
      </c>
      <c r="G9" s="8" t="s">
        <v>326</v>
      </c>
      <c r="H9" s="8" t="s">
        <v>345</v>
      </c>
      <c r="I9" s="8" t="s">
        <v>328</v>
      </c>
      <c r="J9" s="8" t="s">
        <v>346</v>
      </c>
      <c r="K9" s="8" t="s">
        <v>347</v>
      </c>
      <c r="L9" s="8" t="s">
        <v>348</v>
      </c>
      <c r="M9" s="8" t="s">
        <v>349</v>
      </c>
      <c r="N9" s="8" t="s">
        <v>350</v>
      </c>
      <c r="O9" s="8" t="s">
        <v>351</v>
      </c>
      <c r="P9" s="8" t="s">
        <v>352</v>
      </c>
      <c r="Q9" s="8" t="s">
        <v>353</v>
      </c>
    </row>
    <row r="10" customFormat="false" ht="15" hidden="false" customHeight="false" outlineLevel="0" collapsed="false">
      <c r="A10" s="8" t="s">
        <v>354</v>
      </c>
      <c r="B10" s="8" t="s">
        <v>355</v>
      </c>
      <c r="C10" s="7" t="n">
        <v>18</v>
      </c>
      <c r="D10" s="7" t="s">
        <v>24</v>
      </c>
      <c r="E10" s="8" t="s">
        <v>318</v>
      </c>
      <c r="F10" s="8" t="s">
        <v>333</v>
      </c>
      <c r="G10" s="8" t="s">
        <v>326</v>
      </c>
      <c r="H10" s="8" t="s">
        <v>341</v>
      </c>
      <c r="I10" s="8" t="s">
        <v>328</v>
      </c>
      <c r="J10" s="8" t="s">
        <v>84</v>
      </c>
      <c r="K10" s="8" t="s">
        <v>84</v>
      </c>
      <c r="L10" s="8" t="s">
        <v>302</v>
      </c>
      <c r="M10" s="8" t="s">
        <v>356</v>
      </c>
      <c r="N10" s="8" t="s">
        <v>320</v>
      </c>
      <c r="O10" s="8" t="s">
        <v>357</v>
      </c>
      <c r="P10" s="8" t="s">
        <v>314</v>
      </c>
      <c r="Q10" s="8" t="s">
        <v>358</v>
      </c>
    </row>
    <row r="11" customFormat="false" ht="23.85" hidden="false" customHeight="false" outlineLevel="0" collapsed="false">
      <c r="A11" s="8" t="s">
        <v>359</v>
      </c>
      <c r="B11" s="8" t="s">
        <v>360</v>
      </c>
      <c r="C11" s="7" t="n">
        <v>19</v>
      </c>
      <c r="D11" s="7" t="s">
        <v>24</v>
      </c>
      <c r="E11" s="8" t="s">
        <v>318</v>
      </c>
      <c r="F11" s="8" t="s">
        <v>333</v>
      </c>
      <c r="G11" s="8" t="s">
        <v>361</v>
      </c>
      <c r="H11" s="8" t="s">
        <v>341</v>
      </c>
      <c r="I11" s="8" t="s">
        <v>362</v>
      </c>
      <c r="J11" s="8" t="s">
        <v>84</v>
      </c>
      <c r="K11" s="8" t="s">
        <v>84</v>
      </c>
      <c r="L11" s="8" t="s">
        <v>302</v>
      </c>
      <c r="M11" s="8" t="s">
        <v>356</v>
      </c>
      <c r="N11" s="8" t="s">
        <v>320</v>
      </c>
      <c r="O11" s="8" t="s">
        <v>357</v>
      </c>
      <c r="P11" s="8" t="s">
        <v>314</v>
      </c>
      <c r="Q11" s="8" t="s">
        <v>358</v>
      </c>
    </row>
    <row r="12" customFormat="false" ht="23.85" hidden="false" customHeight="false" outlineLevel="0" collapsed="false">
      <c r="A12" s="8" t="s">
        <v>363</v>
      </c>
      <c r="B12" s="8" t="s">
        <v>364</v>
      </c>
      <c r="C12" s="7" t="n">
        <v>20</v>
      </c>
      <c r="D12" s="7" t="s">
        <v>365</v>
      </c>
      <c r="E12" s="8" t="s">
        <v>318</v>
      </c>
      <c r="F12" s="8" t="s">
        <v>366</v>
      </c>
      <c r="G12" s="8" t="s">
        <v>367</v>
      </c>
      <c r="H12" s="8" t="s">
        <v>368</v>
      </c>
      <c r="I12" s="8" t="s">
        <v>369</v>
      </c>
      <c r="J12" s="8" t="s">
        <v>84</v>
      </c>
      <c r="K12" s="8" t="s">
        <v>84</v>
      </c>
      <c r="L12" s="8" t="s">
        <v>302</v>
      </c>
      <c r="M12" s="8" t="s">
        <v>370</v>
      </c>
      <c r="N12" s="8" t="s">
        <v>371</v>
      </c>
      <c r="O12" s="8" t="s">
        <v>372</v>
      </c>
      <c r="P12" s="8" t="s">
        <v>314</v>
      </c>
      <c r="Q12" s="8" t="s">
        <v>373</v>
      </c>
    </row>
    <row r="13" customFormat="false" ht="23.85" hidden="false" customHeight="false" outlineLevel="0" collapsed="false">
      <c r="A13" s="8" t="s">
        <v>374</v>
      </c>
      <c r="B13" s="8" t="s">
        <v>375</v>
      </c>
      <c r="C13" s="7" t="n">
        <v>21</v>
      </c>
      <c r="D13" s="7" t="s">
        <v>365</v>
      </c>
      <c r="E13" s="8" t="s">
        <v>318</v>
      </c>
      <c r="F13" s="8" t="s">
        <v>366</v>
      </c>
      <c r="G13" s="8" t="s">
        <v>367</v>
      </c>
      <c r="H13" s="8" t="s">
        <v>368</v>
      </c>
      <c r="I13" s="8" t="s">
        <v>376</v>
      </c>
      <c r="J13" s="8" t="s">
        <v>84</v>
      </c>
      <c r="K13" s="8" t="s">
        <v>84</v>
      </c>
      <c r="L13" s="8" t="s">
        <v>302</v>
      </c>
      <c r="M13" s="8" t="s">
        <v>356</v>
      </c>
      <c r="N13" s="8" t="s">
        <v>371</v>
      </c>
      <c r="O13" s="8" t="s">
        <v>377</v>
      </c>
      <c r="P13" s="8" t="s">
        <v>314</v>
      </c>
      <c r="Q13" s="8" t="s">
        <v>373</v>
      </c>
    </row>
    <row r="14" customFormat="false" ht="23.85" hidden="false" customHeight="false" outlineLevel="0" collapsed="false">
      <c r="A14" s="8" t="s">
        <v>378</v>
      </c>
      <c r="B14" s="8" t="s">
        <v>379</v>
      </c>
      <c r="C14" s="7" t="n">
        <v>22</v>
      </c>
      <c r="D14" s="7" t="s">
        <v>365</v>
      </c>
      <c r="E14" s="8" t="s">
        <v>318</v>
      </c>
      <c r="F14" s="8" t="s">
        <v>366</v>
      </c>
      <c r="G14" s="8" t="s">
        <v>367</v>
      </c>
      <c r="H14" s="8" t="s">
        <v>368</v>
      </c>
      <c r="I14" s="8" t="s">
        <v>376</v>
      </c>
      <c r="J14" s="8" t="s">
        <v>84</v>
      </c>
      <c r="K14" s="8" t="s">
        <v>84</v>
      </c>
      <c r="L14" s="8" t="s">
        <v>302</v>
      </c>
      <c r="M14" s="8" t="s">
        <v>356</v>
      </c>
      <c r="N14" s="8" t="s">
        <v>371</v>
      </c>
      <c r="O14" s="8" t="s">
        <v>380</v>
      </c>
      <c r="P14" s="8" t="s">
        <v>314</v>
      </c>
      <c r="Q14" s="8" t="s">
        <v>373</v>
      </c>
    </row>
    <row r="15" customFormat="false" ht="23.85" hidden="false" customHeight="false" outlineLevel="0" collapsed="false">
      <c r="A15" s="8" t="s">
        <v>381</v>
      </c>
      <c r="B15" s="8" t="s">
        <v>382</v>
      </c>
      <c r="C15" s="7" t="n">
        <v>23</v>
      </c>
      <c r="D15" s="7" t="s">
        <v>365</v>
      </c>
      <c r="E15" s="8" t="s">
        <v>318</v>
      </c>
      <c r="F15" s="8" t="s">
        <v>383</v>
      </c>
      <c r="G15" s="8" t="s">
        <v>367</v>
      </c>
      <c r="H15" s="8" t="s">
        <v>368</v>
      </c>
      <c r="I15" s="8" t="s">
        <v>376</v>
      </c>
      <c r="J15" s="8" t="s">
        <v>384</v>
      </c>
      <c r="K15" s="8" t="s">
        <v>385</v>
      </c>
      <c r="L15" s="8" t="s">
        <v>386</v>
      </c>
      <c r="M15" s="8" t="s">
        <v>387</v>
      </c>
      <c r="N15" s="8" t="s">
        <v>371</v>
      </c>
      <c r="O15" s="8" t="s">
        <v>388</v>
      </c>
      <c r="P15" s="8" t="s">
        <v>389</v>
      </c>
      <c r="Q15" s="8" t="s">
        <v>390</v>
      </c>
    </row>
    <row r="16" customFormat="false" ht="23.85" hidden="false" customHeight="false" outlineLevel="0" collapsed="false">
      <c r="A16" s="8" t="s">
        <v>391</v>
      </c>
      <c r="B16" s="8" t="s">
        <v>392</v>
      </c>
      <c r="C16" s="7" t="n">
        <v>24</v>
      </c>
      <c r="D16" s="7" t="s">
        <v>365</v>
      </c>
      <c r="E16" s="8" t="s">
        <v>318</v>
      </c>
      <c r="F16" s="8" t="s">
        <v>366</v>
      </c>
      <c r="G16" s="8" t="s">
        <v>367</v>
      </c>
      <c r="H16" s="8" t="s">
        <v>368</v>
      </c>
      <c r="I16" s="8" t="s">
        <v>376</v>
      </c>
      <c r="J16" s="8" t="s">
        <v>84</v>
      </c>
      <c r="K16" s="8" t="s">
        <v>84</v>
      </c>
      <c r="L16" s="8" t="s">
        <v>302</v>
      </c>
      <c r="M16" s="8" t="s">
        <v>356</v>
      </c>
      <c r="N16" s="8" t="s">
        <v>371</v>
      </c>
      <c r="O16" s="8" t="s">
        <v>393</v>
      </c>
      <c r="P16" s="8" t="s">
        <v>314</v>
      </c>
      <c r="Q16" s="8" t="s">
        <v>373</v>
      </c>
    </row>
    <row r="17" customFormat="false" ht="46.25" hidden="false" customHeight="false" outlineLevel="0" collapsed="false">
      <c r="A17" s="8" t="s">
        <v>394</v>
      </c>
      <c r="B17" s="8" t="s">
        <v>395</v>
      </c>
      <c r="C17" s="7" t="s">
        <v>396</v>
      </c>
      <c r="D17" s="7" t="s">
        <v>26</v>
      </c>
      <c r="E17" s="8" t="s">
        <v>397</v>
      </c>
      <c r="F17" s="8" t="s">
        <v>398</v>
      </c>
      <c r="G17" s="8" t="s">
        <v>367</v>
      </c>
      <c r="H17" s="8" t="s">
        <v>399</v>
      </c>
      <c r="I17" s="8" t="s">
        <v>376</v>
      </c>
      <c r="J17" s="8" t="s">
        <v>400</v>
      </c>
      <c r="K17" s="8" t="s">
        <v>400</v>
      </c>
      <c r="L17" s="8" t="s">
        <v>401</v>
      </c>
      <c r="M17" s="8" t="s">
        <v>402</v>
      </c>
      <c r="N17" s="8" t="s">
        <v>403</v>
      </c>
      <c r="O17" s="8" t="s">
        <v>404</v>
      </c>
      <c r="P17" s="8" t="s">
        <v>405</v>
      </c>
      <c r="Q17" s="8" t="s">
        <v>406</v>
      </c>
    </row>
    <row r="18" customFormat="false" ht="23.85" hidden="false" customHeight="false" outlineLevel="0" collapsed="false">
      <c r="A18" s="8" t="s">
        <v>407</v>
      </c>
      <c r="B18" s="8" t="s">
        <v>408</v>
      </c>
      <c r="C18" s="7" t="n">
        <v>25</v>
      </c>
      <c r="D18" s="7" t="s">
        <v>84</v>
      </c>
      <c r="E18" s="8" t="s">
        <v>84</v>
      </c>
      <c r="F18" s="8" t="s">
        <v>409</v>
      </c>
      <c r="G18" s="8" t="s">
        <v>84</v>
      </c>
      <c r="H18" s="8" t="s">
        <v>84</v>
      </c>
      <c r="I18" s="8" t="s">
        <v>84</v>
      </c>
      <c r="J18" s="8" t="s">
        <v>84</v>
      </c>
      <c r="K18" s="8" t="s">
        <v>410</v>
      </c>
      <c r="L18" s="8" t="s">
        <v>84</v>
      </c>
      <c r="M18" s="8" t="s">
        <v>84</v>
      </c>
      <c r="N18" s="8" t="s">
        <v>84</v>
      </c>
      <c r="O18" s="8" t="s">
        <v>84</v>
      </c>
      <c r="P18" s="8" t="s">
        <v>411</v>
      </c>
      <c r="Q18" s="8" t="s">
        <v>412</v>
      </c>
    </row>
  </sheetData>
  <autoFilter ref="A1:Q18"/>
  <conditionalFormatting sqref="P2:P18">
    <cfRule type="expression" priority="2" aboveAverage="0" equalAverage="0" bottom="0" percent="0" rank="0" text="" dxfId="8">
      <formula>LEFT($P2,8)="Verified"</formula>
    </cfRule>
    <cfRule type="expression" priority="3" aboveAverage="0" equalAverage="0" bottom="0" percent="0" rank="0" text="" dxfId="9">
      <formula>LEFT($P2,6)="Partly"</formula>
    </cfRule>
    <cfRule type="expression" priority="4" aboveAverage="0" equalAverage="0" bottom="0" percent="0" rank="0" text="" dxfId="9">
      <formula>LEFT($P2,8)="Families"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34"/>
    <col collapsed="false" customWidth="true" hidden="false" outlineLevel="0" max="3" min="3" style="0" width="24"/>
    <col collapsed="false" customWidth="true" hidden="false" outlineLevel="0" max="4" min="4" style="0" width="18"/>
    <col collapsed="false" customWidth="true" hidden="false" outlineLevel="0" max="5" min="5" style="0" width="22"/>
    <col collapsed="false" customWidth="true" hidden="false" outlineLevel="0" max="6" min="6" style="0" width="30"/>
    <col collapsed="false" customWidth="true" hidden="false" outlineLevel="0" max="7" min="7" style="0" width="26"/>
  </cols>
  <sheetData>
    <row r="1" customFormat="false" ht="15" hidden="false" customHeight="false" outlineLevel="0" collapsed="false">
      <c r="A1" s="6" t="s">
        <v>413</v>
      </c>
      <c r="B1" s="6" t="s">
        <v>414</v>
      </c>
      <c r="C1" s="6" t="s">
        <v>415</v>
      </c>
      <c r="D1" s="6" t="s">
        <v>416</v>
      </c>
      <c r="E1" s="6" t="s">
        <v>417</v>
      </c>
      <c r="F1" s="6" t="s">
        <v>418</v>
      </c>
      <c r="G1" s="6" t="s">
        <v>419</v>
      </c>
    </row>
    <row r="2" customFormat="false" ht="23.85" hidden="false" customHeight="false" outlineLevel="0" collapsed="false">
      <c r="A2" s="8" t="s">
        <v>420</v>
      </c>
      <c r="B2" s="8" t="s">
        <v>421</v>
      </c>
      <c r="C2" s="8" t="s">
        <v>422</v>
      </c>
      <c r="D2" s="8" t="s">
        <v>422</v>
      </c>
      <c r="E2" s="8" t="s">
        <v>422</v>
      </c>
      <c r="F2" s="8" t="s">
        <v>302</v>
      </c>
      <c r="G2" s="8" t="s">
        <v>423</v>
      </c>
    </row>
    <row r="3" customFormat="false" ht="15" hidden="false" customHeight="false" outlineLevel="0" collapsed="false">
      <c r="A3" s="8" t="s">
        <v>424</v>
      </c>
      <c r="B3" s="8" t="s">
        <v>425</v>
      </c>
      <c r="C3" s="8" t="s">
        <v>426</v>
      </c>
      <c r="D3" s="8" t="s">
        <v>426</v>
      </c>
      <c r="E3" s="8" t="s">
        <v>426</v>
      </c>
      <c r="F3" s="8" t="s">
        <v>426</v>
      </c>
      <c r="G3" s="8" t="s">
        <v>427</v>
      </c>
    </row>
    <row r="4" customFormat="false" ht="15" hidden="false" customHeight="false" outlineLevel="0" collapsed="false">
      <c r="A4" s="8" t="s">
        <v>428</v>
      </c>
      <c r="B4" s="8" t="s">
        <v>429</v>
      </c>
      <c r="C4" s="8" t="s">
        <v>429</v>
      </c>
      <c r="D4" s="8" t="s">
        <v>429</v>
      </c>
      <c r="E4" s="8" t="s">
        <v>429</v>
      </c>
      <c r="F4" s="8" t="s">
        <v>302</v>
      </c>
      <c r="G4" s="8" t="s">
        <v>430</v>
      </c>
    </row>
    <row r="5" customFormat="false" ht="15" hidden="false" customHeight="false" outlineLevel="0" collapsed="false">
      <c r="A5" s="8" t="s">
        <v>431</v>
      </c>
      <c r="B5" s="8" t="s">
        <v>429</v>
      </c>
      <c r="C5" s="8" t="s">
        <v>429</v>
      </c>
      <c r="D5" s="8" t="s">
        <v>429</v>
      </c>
      <c r="E5" s="8" t="s">
        <v>429</v>
      </c>
      <c r="F5" s="8" t="s">
        <v>432</v>
      </c>
      <c r="G5" s="8" t="s">
        <v>433</v>
      </c>
    </row>
    <row r="6" customFormat="false" ht="15" hidden="false" customHeight="false" outlineLevel="0" collapsed="false">
      <c r="A6" s="8" t="s">
        <v>434</v>
      </c>
      <c r="B6" s="8" t="s">
        <v>435</v>
      </c>
      <c r="C6" s="8" t="s">
        <v>429</v>
      </c>
      <c r="D6" s="8" t="s">
        <v>429</v>
      </c>
      <c r="E6" s="8" t="s">
        <v>436</v>
      </c>
      <c r="F6" s="8" t="s">
        <v>437</v>
      </c>
      <c r="G6" s="8" t="s">
        <v>438</v>
      </c>
    </row>
    <row r="7" customFormat="false" ht="15" hidden="false" customHeight="false" outlineLevel="0" collapsed="false">
      <c r="A7" s="8" t="s">
        <v>439</v>
      </c>
      <c r="B7" s="8" t="s">
        <v>440</v>
      </c>
      <c r="C7" s="8" t="s">
        <v>441</v>
      </c>
      <c r="D7" s="8" t="s">
        <v>429</v>
      </c>
      <c r="E7" s="8" t="s">
        <v>442</v>
      </c>
      <c r="F7" s="8" t="s">
        <v>443</v>
      </c>
      <c r="G7" s="8" t="s">
        <v>444</v>
      </c>
    </row>
    <row r="8" customFormat="false" ht="15" hidden="false" customHeight="false" outlineLevel="0" collapsed="false">
      <c r="A8" s="8" t="s">
        <v>445</v>
      </c>
      <c r="B8" s="8" t="s">
        <v>446</v>
      </c>
      <c r="C8" s="8" t="s">
        <v>447</v>
      </c>
      <c r="D8" s="8" t="s">
        <v>429</v>
      </c>
      <c r="E8" s="8" t="s">
        <v>429</v>
      </c>
      <c r="F8" s="8" t="s">
        <v>429</v>
      </c>
      <c r="G8" s="8" t="s">
        <v>448</v>
      </c>
    </row>
    <row r="9" customFormat="false" ht="15" hidden="false" customHeight="false" outlineLevel="0" collapsed="false">
      <c r="A9" s="8" t="s">
        <v>449</v>
      </c>
      <c r="B9" s="8" t="s">
        <v>450</v>
      </c>
      <c r="C9" s="8" t="s">
        <v>451</v>
      </c>
      <c r="D9" s="8" t="s">
        <v>429</v>
      </c>
      <c r="E9" s="8" t="s">
        <v>429</v>
      </c>
      <c r="F9" s="8" t="s">
        <v>429</v>
      </c>
      <c r="G9" s="8" t="s">
        <v>448</v>
      </c>
    </row>
    <row r="10" customFormat="false" ht="15" hidden="false" customHeight="false" outlineLevel="0" collapsed="false">
      <c r="A10" s="8" t="s">
        <v>452</v>
      </c>
      <c r="B10" s="8" t="s">
        <v>453</v>
      </c>
      <c r="C10" s="8" t="s">
        <v>429</v>
      </c>
      <c r="D10" s="8" t="s">
        <v>429</v>
      </c>
      <c r="E10" s="8" t="s">
        <v>429</v>
      </c>
      <c r="F10" s="8" t="s">
        <v>429</v>
      </c>
      <c r="G10" s="8" t="s">
        <v>454</v>
      </c>
    </row>
    <row r="11" customFormat="false" ht="15" hidden="false" customHeight="false" outlineLevel="0" collapsed="false">
      <c r="A11" s="8" t="s">
        <v>455</v>
      </c>
      <c r="B11" s="8" t="s">
        <v>456</v>
      </c>
      <c r="C11" s="8" t="s">
        <v>429</v>
      </c>
      <c r="D11" s="8" t="s">
        <v>429</v>
      </c>
      <c r="E11" s="8" t="s">
        <v>429</v>
      </c>
      <c r="F11" s="8" t="s">
        <v>429</v>
      </c>
      <c r="G11" s="8" t="s">
        <v>457</v>
      </c>
    </row>
    <row r="12" customFormat="false" ht="15" hidden="false" customHeight="false" outlineLevel="0" collapsed="false">
      <c r="A12" s="8" t="s">
        <v>458</v>
      </c>
      <c r="B12" s="8" t="s">
        <v>459</v>
      </c>
      <c r="C12" s="8" t="s">
        <v>429</v>
      </c>
      <c r="D12" s="8" t="s">
        <v>429</v>
      </c>
      <c r="E12" s="8" t="s">
        <v>429</v>
      </c>
      <c r="F12" s="8" t="s">
        <v>429</v>
      </c>
      <c r="G12" s="8" t="s">
        <v>457</v>
      </c>
    </row>
    <row r="13" customFormat="false" ht="15" hidden="false" customHeight="false" outlineLevel="0" collapsed="false">
      <c r="A13" s="8" t="s">
        <v>460</v>
      </c>
      <c r="B13" s="8" t="s">
        <v>461</v>
      </c>
      <c r="C13" s="8" t="s">
        <v>462</v>
      </c>
      <c r="D13" s="8" t="s">
        <v>429</v>
      </c>
      <c r="E13" s="8" t="s">
        <v>429</v>
      </c>
      <c r="F13" s="8" t="s">
        <v>429</v>
      </c>
      <c r="G13" s="8" t="s">
        <v>448</v>
      </c>
    </row>
    <row r="14" customFormat="false" ht="15" hidden="false" customHeight="false" outlineLevel="0" collapsed="false">
      <c r="A14" s="8" t="s">
        <v>463</v>
      </c>
      <c r="B14" s="8" t="s">
        <v>464</v>
      </c>
      <c r="C14" s="8" t="s">
        <v>429</v>
      </c>
      <c r="D14" s="8" t="s">
        <v>429</v>
      </c>
      <c r="E14" s="8" t="s">
        <v>429</v>
      </c>
      <c r="F14" s="8" t="s">
        <v>429</v>
      </c>
      <c r="G14" s="8" t="s">
        <v>465</v>
      </c>
    </row>
    <row r="15" customFormat="false" ht="15" hidden="false" customHeight="false" outlineLevel="0" collapsed="false">
      <c r="A15" s="8" t="s">
        <v>466</v>
      </c>
      <c r="B15" s="8" t="s">
        <v>467</v>
      </c>
      <c r="C15" s="8" t="s">
        <v>429</v>
      </c>
      <c r="D15" s="8" t="s">
        <v>429</v>
      </c>
      <c r="E15" s="8" t="s">
        <v>429</v>
      </c>
      <c r="F15" s="8" t="s">
        <v>429</v>
      </c>
      <c r="G15" s="8"/>
    </row>
    <row r="16" customFormat="false" ht="15" hidden="false" customHeight="false" outlineLevel="0" collapsed="false">
      <c r="A16" s="8" t="s">
        <v>468</v>
      </c>
      <c r="B16" s="8" t="s">
        <v>469</v>
      </c>
      <c r="C16" s="8" t="s">
        <v>470</v>
      </c>
      <c r="D16" s="8" t="s">
        <v>429</v>
      </c>
      <c r="E16" s="8" t="s">
        <v>429</v>
      </c>
      <c r="F16" s="8" t="s">
        <v>471</v>
      </c>
      <c r="G16" s="8" t="s">
        <v>448</v>
      </c>
    </row>
    <row r="17" customFormat="false" ht="23.85" hidden="false" customHeight="false" outlineLevel="0" collapsed="false">
      <c r="A17" s="8" t="s">
        <v>472</v>
      </c>
      <c r="B17" s="8" t="s">
        <v>473</v>
      </c>
      <c r="C17" s="8" t="s">
        <v>474</v>
      </c>
      <c r="D17" s="8" t="s">
        <v>475</v>
      </c>
      <c r="E17" s="8" t="s">
        <v>476</v>
      </c>
      <c r="F17" s="8" t="s">
        <v>477</v>
      </c>
      <c r="G17" s="8" t="s">
        <v>322</v>
      </c>
    </row>
  </sheetData>
  <autoFilter ref="A1:G17"/>
  <conditionalFormatting sqref="B2:F17">
    <cfRule type="expression" priority="2" aboveAverage="0" equalAverage="0" bottom="0" percent="0" rank="0" text="" dxfId="11">
      <formula>ISNUMBER(SEARCH("lost",B2))</formula>
    </cfRule>
    <cfRule type="expression" priority="3" aboveAverage="0" equalAverage="0" bottom="0" percent="0" rank="0" text="" dxfId="8">
      <formula>LEFT(B2,4)="Same"</formula>
    </cfRule>
    <cfRule type="expression" priority="4" aboveAverage="0" equalAverage="0" bottom="0" percent="0" rank="0" text="" dxfId="10">
      <formula>ISNUMBER(SEARCH("fallback",B2))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30"/>
    <col collapsed="false" customWidth="true" hidden="false" outlineLevel="0" max="4" min="4" style="0" width="28"/>
    <col collapsed="false" customWidth="true" hidden="false" outlineLevel="0" max="5" min="5" style="0" width="24"/>
    <col collapsed="false" customWidth="true" hidden="false" outlineLevel="0" max="6" min="6" style="0" width="30"/>
    <col collapsed="false" customWidth="true" hidden="false" outlineLevel="0" max="7" min="7" style="0" width="28"/>
    <col collapsed="false" customWidth="true" hidden="false" outlineLevel="0" max="8" min="8" style="0" width="26"/>
  </cols>
  <sheetData>
    <row r="1" customFormat="false" ht="15" hidden="false" customHeight="false" outlineLevel="0" collapsed="false">
      <c r="A1" s="6" t="s">
        <v>478</v>
      </c>
      <c r="B1" s="6" t="s">
        <v>479</v>
      </c>
      <c r="C1" s="6" t="s">
        <v>480</v>
      </c>
      <c r="D1" s="6" t="s">
        <v>481</v>
      </c>
      <c r="E1" s="6" t="s">
        <v>482</v>
      </c>
      <c r="F1" s="6" t="s">
        <v>483</v>
      </c>
      <c r="G1" s="6" t="s">
        <v>484</v>
      </c>
      <c r="H1" s="6" t="s">
        <v>18</v>
      </c>
    </row>
    <row r="2" customFormat="false" ht="23.85" hidden="false" customHeight="false" outlineLevel="0" collapsed="false">
      <c r="A2" s="8" t="s">
        <v>485</v>
      </c>
      <c r="B2" s="8" t="s">
        <v>486</v>
      </c>
      <c r="C2" s="8" t="s">
        <v>487</v>
      </c>
      <c r="D2" s="8" t="s">
        <v>488</v>
      </c>
      <c r="E2" s="8" t="s">
        <v>489</v>
      </c>
      <c r="F2" s="8" t="s">
        <v>490</v>
      </c>
      <c r="G2" s="8" t="s">
        <v>491</v>
      </c>
      <c r="H2" s="8" t="s">
        <v>492</v>
      </c>
    </row>
    <row r="3" customFormat="false" ht="15" hidden="false" customHeight="false" outlineLevel="0" collapsed="false">
      <c r="A3" s="8" t="s">
        <v>493</v>
      </c>
      <c r="B3" s="8" t="s">
        <v>494</v>
      </c>
      <c r="C3" s="8" t="s">
        <v>495</v>
      </c>
      <c r="D3" s="8" t="s">
        <v>496</v>
      </c>
      <c r="E3" s="8" t="s">
        <v>496</v>
      </c>
      <c r="F3" s="8" t="s">
        <v>497</v>
      </c>
      <c r="G3" s="8" t="s">
        <v>498</v>
      </c>
      <c r="H3" s="8" t="s">
        <v>153</v>
      </c>
    </row>
    <row r="4" customFormat="false" ht="23.85" hidden="false" customHeight="false" outlineLevel="0" collapsed="false">
      <c r="A4" s="8" t="s">
        <v>439</v>
      </c>
      <c r="B4" s="8" t="s">
        <v>499</v>
      </c>
      <c r="C4" s="8" t="s">
        <v>500</v>
      </c>
      <c r="D4" s="8" t="s">
        <v>501</v>
      </c>
      <c r="E4" s="8" t="s">
        <v>496</v>
      </c>
      <c r="F4" s="8" t="s">
        <v>502</v>
      </c>
      <c r="G4" s="8" t="s">
        <v>503</v>
      </c>
      <c r="H4" s="8" t="s">
        <v>504</v>
      </c>
    </row>
    <row r="5" customFormat="false" ht="15" hidden="false" customHeight="false" outlineLevel="0" collapsed="false">
      <c r="A5" s="8" t="s">
        <v>468</v>
      </c>
      <c r="B5" s="8" t="s">
        <v>505</v>
      </c>
      <c r="C5" s="8" t="s">
        <v>506</v>
      </c>
      <c r="D5" s="8" t="s">
        <v>507</v>
      </c>
      <c r="E5" s="8" t="s">
        <v>496</v>
      </c>
      <c r="F5" s="8" t="s">
        <v>508</v>
      </c>
      <c r="G5" s="8" t="s">
        <v>509</v>
      </c>
      <c r="H5" s="8" t="s">
        <v>510</v>
      </c>
    </row>
    <row r="6" customFormat="false" ht="23.85" hidden="false" customHeight="false" outlineLevel="0" collapsed="false">
      <c r="A6" s="8" t="s">
        <v>511</v>
      </c>
      <c r="B6" s="8" t="s">
        <v>512</v>
      </c>
      <c r="C6" s="8" t="s">
        <v>304</v>
      </c>
      <c r="D6" s="8" t="s">
        <v>320</v>
      </c>
      <c r="E6" s="8" t="s">
        <v>371</v>
      </c>
      <c r="F6" s="8" t="s">
        <v>513</v>
      </c>
      <c r="G6" s="8" t="s">
        <v>514</v>
      </c>
      <c r="H6" s="8" t="s">
        <v>515</v>
      </c>
    </row>
    <row r="7" customFormat="false" ht="23.85" hidden="false" customHeight="false" outlineLevel="0" collapsed="false">
      <c r="A7" s="8" t="s">
        <v>516</v>
      </c>
      <c r="B7" s="8" t="s">
        <v>517</v>
      </c>
      <c r="C7" s="8" t="s">
        <v>518</v>
      </c>
      <c r="D7" s="8" t="s">
        <v>519</v>
      </c>
      <c r="E7" s="8" t="s">
        <v>520</v>
      </c>
      <c r="F7" s="8" t="s">
        <v>521</v>
      </c>
      <c r="G7" s="8" t="s">
        <v>522</v>
      </c>
      <c r="H7" s="8" t="s">
        <v>523</v>
      </c>
    </row>
    <row r="8" customFormat="false" ht="15" hidden="false" customHeight="false" outlineLevel="0" collapsed="false">
      <c r="A8" s="8" t="s">
        <v>524</v>
      </c>
      <c r="B8" s="8" t="s">
        <v>525</v>
      </c>
      <c r="C8" s="8" t="s">
        <v>526</v>
      </c>
      <c r="D8" s="8" t="s">
        <v>496</v>
      </c>
      <c r="E8" s="8" t="s">
        <v>496</v>
      </c>
      <c r="F8" s="8" t="s">
        <v>496</v>
      </c>
      <c r="G8" s="8" t="s">
        <v>527</v>
      </c>
      <c r="H8" s="8" t="s">
        <v>84</v>
      </c>
    </row>
    <row r="9" customFormat="false" ht="23.85" hidden="false" customHeight="false" outlineLevel="0" collapsed="false">
      <c r="A9" s="8" t="s">
        <v>528</v>
      </c>
      <c r="B9" s="8" t="s">
        <v>529</v>
      </c>
      <c r="C9" s="8" t="s">
        <v>530</v>
      </c>
      <c r="D9" s="8" t="s">
        <v>496</v>
      </c>
      <c r="E9" s="8" t="s">
        <v>496</v>
      </c>
      <c r="F9" s="8" t="s">
        <v>531</v>
      </c>
      <c r="G9" s="8" t="s">
        <v>532</v>
      </c>
      <c r="H9" s="8" t="s">
        <v>84</v>
      </c>
    </row>
  </sheetData>
  <autoFilter ref="A1:H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1"/>
    <col collapsed="false" customWidth="true" hidden="false" outlineLevel="0" max="3" min="3" style="0" width="64"/>
    <col collapsed="false" customWidth="true" hidden="false" outlineLevel="0" max="4" min="4" style="0" width="36"/>
    <col collapsed="false" customWidth="true" hidden="false" outlineLevel="0" max="5" min="5" style="0" width="40"/>
    <col collapsed="false" customWidth="true" hidden="false" outlineLevel="0" max="6" min="6" style="0" width="11"/>
    <col collapsed="false" customWidth="true" hidden="false" outlineLevel="0" max="7" min="7" style="0" width="20"/>
  </cols>
  <sheetData>
    <row r="1" customFormat="false" ht="15" hidden="false" customHeight="false" outlineLevel="0" collapsed="false">
      <c r="A1" s="6" t="s">
        <v>62</v>
      </c>
      <c r="B1" s="6" t="s">
        <v>533</v>
      </c>
      <c r="C1" s="6" t="s">
        <v>534</v>
      </c>
      <c r="D1" s="6" t="s">
        <v>535</v>
      </c>
      <c r="E1" s="6" t="s">
        <v>536</v>
      </c>
      <c r="F1" s="6" t="s">
        <v>537</v>
      </c>
      <c r="G1" s="6" t="s">
        <v>538</v>
      </c>
    </row>
    <row r="2" customFormat="false" ht="35.05" hidden="false" customHeight="false" outlineLevel="0" collapsed="false">
      <c r="A2" s="8" t="s">
        <v>539</v>
      </c>
      <c r="B2" s="8" t="s">
        <v>540</v>
      </c>
      <c r="C2" s="8" t="s">
        <v>541</v>
      </c>
      <c r="D2" s="8" t="s">
        <v>542</v>
      </c>
      <c r="E2" s="8" t="s">
        <v>543</v>
      </c>
      <c r="F2" s="8" t="s">
        <v>544</v>
      </c>
      <c r="G2" s="8" t="s">
        <v>545</v>
      </c>
    </row>
    <row r="3" customFormat="false" ht="23.85" hidden="false" customHeight="false" outlineLevel="0" collapsed="false">
      <c r="A3" s="8" t="s">
        <v>546</v>
      </c>
      <c r="B3" s="8" t="s">
        <v>540</v>
      </c>
      <c r="C3" s="8" t="s">
        <v>547</v>
      </c>
      <c r="D3" s="8" t="s">
        <v>548</v>
      </c>
      <c r="E3" s="8" t="s">
        <v>549</v>
      </c>
      <c r="F3" s="8" t="s">
        <v>544</v>
      </c>
      <c r="G3" s="8" t="s">
        <v>134</v>
      </c>
    </row>
    <row r="4" customFormat="false" ht="35.05" hidden="false" customHeight="false" outlineLevel="0" collapsed="false">
      <c r="A4" s="8" t="s">
        <v>550</v>
      </c>
      <c r="B4" s="8" t="s">
        <v>540</v>
      </c>
      <c r="C4" s="8" t="s">
        <v>551</v>
      </c>
      <c r="D4" s="8" t="s">
        <v>552</v>
      </c>
      <c r="E4" s="8" t="s">
        <v>553</v>
      </c>
      <c r="F4" s="8" t="s">
        <v>544</v>
      </c>
      <c r="G4" s="8" t="s">
        <v>554</v>
      </c>
    </row>
    <row r="5" customFormat="false" ht="35.05" hidden="false" customHeight="false" outlineLevel="0" collapsed="false">
      <c r="A5" s="8" t="s">
        <v>555</v>
      </c>
      <c r="B5" s="8" t="s">
        <v>540</v>
      </c>
      <c r="C5" s="8" t="s">
        <v>556</v>
      </c>
      <c r="D5" s="8" t="s">
        <v>557</v>
      </c>
      <c r="E5" s="8" t="s">
        <v>558</v>
      </c>
      <c r="F5" s="8" t="s">
        <v>544</v>
      </c>
      <c r="G5" s="8" t="s">
        <v>559</v>
      </c>
    </row>
    <row r="6" customFormat="false" ht="35.05" hidden="false" customHeight="false" outlineLevel="0" collapsed="false">
      <c r="A6" s="8" t="s">
        <v>560</v>
      </c>
      <c r="B6" s="8" t="s">
        <v>540</v>
      </c>
      <c r="C6" s="8" t="s">
        <v>561</v>
      </c>
      <c r="D6" s="8" t="s">
        <v>562</v>
      </c>
      <c r="E6" s="8" t="s">
        <v>563</v>
      </c>
      <c r="F6" s="8" t="s">
        <v>544</v>
      </c>
      <c r="G6" s="8" t="s">
        <v>564</v>
      </c>
    </row>
    <row r="7" customFormat="false" ht="23.85" hidden="false" customHeight="false" outlineLevel="0" collapsed="false">
      <c r="A7" s="8" t="s">
        <v>565</v>
      </c>
      <c r="B7" s="8" t="s">
        <v>540</v>
      </c>
      <c r="C7" s="8" t="s">
        <v>566</v>
      </c>
      <c r="D7" s="8" t="s">
        <v>567</v>
      </c>
      <c r="E7" s="8" t="s">
        <v>568</v>
      </c>
      <c r="F7" s="8" t="s">
        <v>544</v>
      </c>
      <c r="G7" s="8" t="s">
        <v>145</v>
      </c>
    </row>
    <row r="8" customFormat="false" ht="35.05" hidden="false" customHeight="false" outlineLevel="0" collapsed="false">
      <c r="A8" s="8" t="s">
        <v>569</v>
      </c>
      <c r="B8" s="8" t="s">
        <v>540</v>
      </c>
      <c r="C8" s="8" t="s">
        <v>570</v>
      </c>
      <c r="D8" s="8" t="s">
        <v>571</v>
      </c>
      <c r="E8" s="8" t="s">
        <v>377</v>
      </c>
      <c r="F8" s="8" t="s">
        <v>544</v>
      </c>
      <c r="G8" s="8" t="s">
        <v>572</v>
      </c>
    </row>
    <row r="9" customFormat="false" ht="23.85" hidden="false" customHeight="false" outlineLevel="0" collapsed="false">
      <c r="A9" s="8" t="s">
        <v>573</v>
      </c>
      <c r="B9" s="8" t="s">
        <v>540</v>
      </c>
      <c r="C9" s="8" t="s">
        <v>574</v>
      </c>
      <c r="D9" s="8" t="s">
        <v>575</v>
      </c>
      <c r="E9" s="8" t="s">
        <v>553</v>
      </c>
      <c r="F9" s="8" t="s">
        <v>544</v>
      </c>
      <c r="G9" s="8" t="s">
        <v>572</v>
      </c>
    </row>
    <row r="10" customFormat="false" ht="23.85" hidden="false" customHeight="false" outlineLevel="0" collapsed="false">
      <c r="A10" s="8" t="s">
        <v>576</v>
      </c>
      <c r="B10" s="8" t="s">
        <v>540</v>
      </c>
      <c r="C10" s="8" t="s">
        <v>577</v>
      </c>
      <c r="D10" s="8" t="s">
        <v>578</v>
      </c>
      <c r="E10" s="8" t="s">
        <v>579</v>
      </c>
      <c r="F10" s="8" t="s">
        <v>544</v>
      </c>
      <c r="G10" s="8" t="s">
        <v>580</v>
      </c>
    </row>
    <row r="11" customFormat="false" ht="23.85" hidden="false" customHeight="false" outlineLevel="0" collapsed="false">
      <c r="A11" s="8" t="s">
        <v>581</v>
      </c>
      <c r="B11" s="8" t="s">
        <v>540</v>
      </c>
      <c r="C11" s="8" t="s">
        <v>582</v>
      </c>
      <c r="D11" s="8" t="s">
        <v>583</v>
      </c>
      <c r="E11" s="8" t="s">
        <v>584</v>
      </c>
      <c r="F11" s="8" t="s">
        <v>544</v>
      </c>
      <c r="G11" s="8" t="s">
        <v>585</v>
      </c>
    </row>
    <row r="12" customFormat="false" ht="35.05" hidden="false" customHeight="false" outlineLevel="0" collapsed="false">
      <c r="A12" s="8" t="s">
        <v>448</v>
      </c>
      <c r="B12" s="8" t="s">
        <v>540</v>
      </c>
      <c r="C12" s="8" t="s">
        <v>586</v>
      </c>
      <c r="D12" s="8" t="s">
        <v>587</v>
      </c>
      <c r="E12" s="8" t="s">
        <v>588</v>
      </c>
      <c r="F12" s="8" t="s">
        <v>544</v>
      </c>
      <c r="G12" s="8" t="s">
        <v>589</v>
      </c>
    </row>
    <row r="13" customFormat="false" ht="35.05" hidden="false" customHeight="false" outlineLevel="0" collapsed="false">
      <c r="A13" s="8" t="s">
        <v>590</v>
      </c>
      <c r="B13" s="8" t="s">
        <v>540</v>
      </c>
      <c r="C13" s="8" t="s">
        <v>591</v>
      </c>
      <c r="D13" s="8" t="s">
        <v>592</v>
      </c>
      <c r="E13" s="8" t="s">
        <v>593</v>
      </c>
      <c r="F13" s="8" t="s">
        <v>544</v>
      </c>
      <c r="G13" s="8" t="s">
        <v>594</v>
      </c>
    </row>
    <row r="14" customFormat="false" ht="23.85" hidden="false" customHeight="false" outlineLevel="0" collapsed="false">
      <c r="A14" s="8" t="s">
        <v>595</v>
      </c>
      <c r="B14" s="8" t="s">
        <v>540</v>
      </c>
      <c r="C14" s="8" t="s">
        <v>596</v>
      </c>
      <c r="D14" s="8" t="s">
        <v>597</v>
      </c>
      <c r="E14" s="8" t="s">
        <v>377</v>
      </c>
      <c r="F14" s="8" t="s">
        <v>544</v>
      </c>
      <c r="G14" s="8" t="s">
        <v>598</v>
      </c>
    </row>
    <row r="15" customFormat="false" ht="15" hidden="false" customHeight="false" outlineLevel="0" collapsed="false">
      <c r="A15" s="8" t="s">
        <v>430</v>
      </c>
      <c r="B15" s="8" t="s">
        <v>540</v>
      </c>
      <c r="C15" s="8" t="s">
        <v>599</v>
      </c>
      <c r="D15" s="8" t="s">
        <v>600</v>
      </c>
      <c r="E15" s="8" t="s">
        <v>601</v>
      </c>
      <c r="F15" s="8" t="s">
        <v>544</v>
      </c>
      <c r="G15" s="8" t="s">
        <v>153</v>
      </c>
    </row>
    <row r="16" customFormat="false" ht="15" hidden="false" customHeight="false" outlineLevel="0" collapsed="false">
      <c r="A16" s="8" t="s">
        <v>602</v>
      </c>
      <c r="B16" s="8" t="s">
        <v>540</v>
      </c>
      <c r="C16" s="8" t="s">
        <v>603</v>
      </c>
      <c r="D16" s="8" t="s">
        <v>604</v>
      </c>
      <c r="E16" s="8" t="s">
        <v>605</v>
      </c>
      <c r="F16" s="8" t="s">
        <v>544</v>
      </c>
      <c r="G16" s="8" t="s">
        <v>606</v>
      </c>
    </row>
    <row r="17" customFormat="false" ht="15" hidden="false" customHeight="false" outlineLevel="0" collapsed="false">
      <c r="A17" s="8" t="s">
        <v>607</v>
      </c>
      <c r="B17" s="8" t="s">
        <v>540</v>
      </c>
      <c r="C17" s="8" t="s">
        <v>608</v>
      </c>
      <c r="D17" s="8" t="s">
        <v>609</v>
      </c>
      <c r="E17" s="8" t="s">
        <v>610</v>
      </c>
      <c r="F17" s="8" t="s">
        <v>544</v>
      </c>
      <c r="G17" s="8" t="s">
        <v>165</v>
      </c>
    </row>
    <row r="18" customFormat="false" ht="15" hidden="false" customHeight="false" outlineLevel="0" collapsed="false">
      <c r="A18" s="8" t="s">
        <v>427</v>
      </c>
      <c r="B18" s="8" t="s">
        <v>314</v>
      </c>
      <c r="C18" s="8" t="s">
        <v>611</v>
      </c>
      <c r="D18" s="8" t="s">
        <v>612</v>
      </c>
      <c r="E18" s="8" t="s">
        <v>81</v>
      </c>
      <c r="F18" s="8"/>
      <c r="G18" s="8" t="s">
        <v>232</v>
      </c>
    </row>
    <row r="19" customFormat="false" ht="23.85" hidden="false" customHeight="false" outlineLevel="0" collapsed="false">
      <c r="A19" s="8" t="s">
        <v>358</v>
      </c>
      <c r="B19" s="8" t="s">
        <v>314</v>
      </c>
      <c r="C19" s="8" t="s">
        <v>613</v>
      </c>
      <c r="D19" s="8" t="s">
        <v>614</v>
      </c>
      <c r="E19" s="8" t="s">
        <v>81</v>
      </c>
      <c r="F19" s="8"/>
      <c r="G19" s="8" t="s">
        <v>615</v>
      </c>
    </row>
    <row r="20" customFormat="false" ht="15" hidden="false" customHeight="false" outlineLevel="0" collapsed="false">
      <c r="A20" s="8" t="s">
        <v>616</v>
      </c>
      <c r="B20" s="8" t="s">
        <v>314</v>
      </c>
      <c r="C20" s="8" t="s">
        <v>617</v>
      </c>
      <c r="D20" s="8" t="s">
        <v>618</v>
      </c>
      <c r="E20" s="8" t="s">
        <v>81</v>
      </c>
      <c r="F20" s="8"/>
      <c r="G20" s="8" t="s">
        <v>181</v>
      </c>
    </row>
    <row r="21" customFormat="false" ht="23.85" hidden="false" customHeight="false" outlineLevel="0" collapsed="false">
      <c r="A21" s="8" t="s">
        <v>619</v>
      </c>
      <c r="B21" s="8" t="s">
        <v>314</v>
      </c>
      <c r="C21" s="8" t="s">
        <v>620</v>
      </c>
      <c r="D21" s="8" t="s">
        <v>621</v>
      </c>
      <c r="E21" s="8" t="s">
        <v>72</v>
      </c>
      <c r="F21" s="8"/>
      <c r="G21" s="8" t="s">
        <v>225</v>
      </c>
    </row>
    <row r="22" customFormat="false" ht="15" hidden="false" customHeight="false" outlineLevel="0" collapsed="false">
      <c r="A22" s="8" t="s">
        <v>622</v>
      </c>
      <c r="B22" s="8" t="s">
        <v>314</v>
      </c>
      <c r="C22" s="8" t="s">
        <v>623</v>
      </c>
      <c r="D22" s="8" t="s">
        <v>624</v>
      </c>
      <c r="E22" s="8" t="s">
        <v>72</v>
      </c>
      <c r="F22" s="8"/>
      <c r="G22" s="8" t="s">
        <v>134</v>
      </c>
    </row>
    <row r="23" customFormat="false" ht="23.85" hidden="false" customHeight="false" outlineLevel="0" collapsed="false">
      <c r="A23" s="8" t="s">
        <v>412</v>
      </c>
      <c r="B23" s="8" t="s">
        <v>314</v>
      </c>
      <c r="C23" s="8" t="s">
        <v>625</v>
      </c>
      <c r="D23" s="8" t="s">
        <v>626</v>
      </c>
      <c r="E23" s="8" t="s">
        <v>627</v>
      </c>
      <c r="F23" s="8"/>
      <c r="G23" s="8" t="s">
        <v>628</v>
      </c>
    </row>
    <row r="24" customFormat="false" ht="15" hidden="false" customHeight="false" outlineLevel="0" collapsed="false">
      <c r="A24" s="8" t="s">
        <v>629</v>
      </c>
      <c r="B24" s="8" t="s">
        <v>314</v>
      </c>
      <c r="C24" s="8" t="s">
        <v>630</v>
      </c>
      <c r="D24" s="8" t="s">
        <v>631</v>
      </c>
      <c r="E24" s="8" t="s">
        <v>178</v>
      </c>
      <c r="F24" s="8"/>
      <c r="G24" s="8" t="s">
        <v>632</v>
      </c>
    </row>
    <row r="25" customFormat="false" ht="15" hidden="false" customHeight="false" outlineLevel="0" collapsed="false">
      <c r="A25" s="8" t="s">
        <v>633</v>
      </c>
      <c r="B25" s="8" t="s">
        <v>314</v>
      </c>
      <c r="C25" s="8" t="s">
        <v>634</v>
      </c>
      <c r="D25" s="8" t="s">
        <v>140</v>
      </c>
      <c r="E25" s="8" t="s">
        <v>140</v>
      </c>
      <c r="F25" s="8"/>
      <c r="G25" s="8" t="s">
        <v>365</v>
      </c>
    </row>
    <row r="26" customFormat="false" ht="15" hidden="false" customHeight="false" outlineLevel="0" collapsed="false">
      <c r="A26" s="8" t="s">
        <v>635</v>
      </c>
      <c r="B26" s="8" t="s">
        <v>314</v>
      </c>
      <c r="C26" s="8" t="s">
        <v>636</v>
      </c>
      <c r="D26" s="8" t="s">
        <v>637</v>
      </c>
      <c r="E26" s="8" t="s">
        <v>84</v>
      </c>
      <c r="F26" s="8"/>
      <c r="G26" s="8" t="s">
        <v>177</v>
      </c>
    </row>
    <row r="27" customFormat="false" ht="15" hidden="false" customHeight="false" outlineLevel="0" collapsed="false">
      <c r="A27" s="8" t="s">
        <v>638</v>
      </c>
      <c r="B27" s="8" t="s">
        <v>314</v>
      </c>
      <c r="C27" s="8" t="s">
        <v>639</v>
      </c>
      <c r="D27" s="8" t="s">
        <v>209</v>
      </c>
      <c r="E27" s="8" t="s">
        <v>209</v>
      </c>
      <c r="F27" s="8"/>
      <c r="G27" s="8" t="s">
        <v>94</v>
      </c>
    </row>
    <row r="28" customFormat="false" ht="15" hidden="false" customHeight="false" outlineLevel="0" collapsed="false">
      <c r="A28" s="8" t="s">
        <v>640</v>
      </c>
      <c r="B28" s="8" t="s">
        <v>314</v>
      </c>
      <c r="C28" s="8" t="s">
        <v>641</v>
      </c>
      <c r="D28" s="8" t="s">
        <v>642</v>
      </c>
      <c r="E28" s="8" t="s">
        <v>140</v>
      </c>
      <c r="F28" s="8"/>
      <c r="G28" s="8" t="s">
        <v>137</v>
      </c>
    </row>
    <row r="29" customFormat="false" ht="23.85" hidden="false" customHeight="false" outlineLevel="0" collapsed="false">
      <c r="A29" s="8" t="s">
        <v>643</v>
      </c>
      <c r="B29" s="8" t="s">
        <v>314</v>
      </c>
      <c r="C29" s="8" t="s">
        <v>644</v>
      </c>
      <c r="D29" s="8" t="s">
        <v>645</v>
      </c>
      <c r="E29" s="8" t="s">
        <v>140</v>
      </c>
      <c r="F29" s="8"/>
      <c r="G29" s="8" t="s">
        <v>646</v>
      </c>
    </row>
    <row r="30" customFormat="false" ht="23.85" hidden="false" customHeight="false" outlineLevel="0" collapsed="false">
      <c r="A30" s="8" t="s">
        <v>647</v>
      </c>
      <c r="B30" s="8" t="s">
        <v>314</v>
      </c>
      <c r="C30" s="8" t="s">
        <v>648</v>
      </c>
      <c r="D30" s="8" t="s">
        <v>207</v>
      </c>
      <c r="E30" s="8" t="s">
        <v>207</v>
      </c>
      <c r="F30" s="8"/>
      <c r="G30" s="8" t="s">
        <v>649</v>
      </c>
    </row>
    <row r="31" customFormat="false" ht="23.85" hidden="false" customHeight="false" outlineLevel="0" collapsed="false">
      <c r="A31" s="8" t="s">
        <v>650</v>
      </c>
      <c r="B31" s="8" t="s">
        <v>314</v>
      </c>
      <c r="C31" s="8" t="s">
        <v>651</v>
      </c>
      <c r="D31" s="8" t="s">
        <v>652</v>
      </c>
      <c r="E31" s="8" t="s">
        <v>91</v>
      </c>
      <c r="F31" s="8"/>
      <c r="G31" s="8" t="s">
        <v>145</v>
      </c>
    </row>
  </sheetData>
  <autoFilter ref="A1:G31"/>
  <conditionalFormatting sqref="B2:B31">
    <cfRule type="expression" priority="2" aboveAverage="0" equalAverage="0" bottom="0" percent="0" rank="0" text="" dxfId="8">
      <formula>$B2="Checked"</formula>
    </cfRule>
    <cfRule type="expression" priority="3" aboveAverage="0" equalAverage="0" bottom="0" percent="0" rank="0" text="" dxfId="10">
      <formula>$B2="Unverified"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0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50"/>
    <col collapsed="false" customWidth="true" hidden="false" outlineLevel="0" max="7" min="7" style="0" width="12"/>
  </cols>
  <sheetData>
    <row r="1" customFormat="false" ht="23.85" hidden="false" customHeight="false" outlineLevel="0" collapsed="false">
      <c r="A1" s="6" t="s">
        <v>62</v>
      </c>
      <c r="B1" s="6" t="s">
        <v>653</v>
      </c>
      <c r="C1" s="6" t="s">
        <v>34</v>
      </c>
      <c r="D1" s="6" t="s">
        <v>654</v>
      </c>
      <c r="E1" s="6" t="s">
        <v>655</v>
      </c>
      <c r="F1" s="6" t="s">
        <v>656</v>
      </c>
      <c r="G1" s="6" t="s">
        <v>64</v>
      </c>
    </row>
    <row r="2" customFormat="false" ht="15" hidden="false" customHeight="false" outlineLevel="0" collapsed="false">
      <c r="A2" s="8" t="s">
        <v>649</v>
      </c>
      <c r="B2" s="8" t="s">
        <v>657</v>
      </c>
      <c r="C2" s="8" t="s">
        <v>28</v>
      </c>
      <c r="D2" s="17" t="s">
        <v>658</v>
      </c>
      <c r="E2" s="17" t="s">
        <v>659</v>
      </c>
      <c r="F2" s="8" t="s">
        <v>660</v>
      </c>
      <c r="G2" s="8" t="s">
        <v>207</v>
      </c>
    </row>
    <row r="3" customFormat="false" ht="23.85" hidden="false" customHeight="false" outlineLevel="0" collapsed="false">
      <c r="A3" s="8" t="s">
        <v>661</v>
      </c>
      <c r="B3" s="8" t="s">
        <v>662</v>
      </c>
      <c r="C3" s="8" t="s">
        <v>663</v>
      </c>
      <c r="D3" s="17" t="s">
        <v>658</v>
      </c>
      <c r="E3" s="17" t="s">
        <v>658</v>
      </c>
      <c r="F3" s="8" t="s">
        <v>664</v>
      </c>
      <c r="G3" s="8" t="s">
        <v>129</v>
      </c>
    </row>
    <row r="4" customFormat="false" ht="15" hidden="false" customHeight="false" outlineLevel="0" collapsed="false">
      <c r="A4" s="8" t="s">
        <v>665</v>
      </c>
      <c r="B4" s="8" t="s">
        <v>666</v>
      </c>
      <c r="C4" s="8" t="s">
        <v>365</v>
      </c>
      <c r="D4" s="17" t="s">
        <v>667</v>
      </c>
      <c r="E4" s="17" t="s">
        <v>658</v>
      </c>
      <c r="F4" s="8" t="s">
        <v>668</v>
      </c>
      <c r="G4" s="8" t="s">
        <v>137</v>
      </c>
    </row>
    <row r="5" customFormat="false" ht="23.85" hidden="false" customHeight="false" outlineLevel="0" collapsed="false">
      <c r="A5" s="8" t="s">
        <v>669</v>
      </c>
      <c r="B5" s="8" t="s">
        <v>670</v>
      </c>
      <c r="C5" s="8" t="s">
        <v>671</v>
      </c>
      <c r="D5" s="17" t="s">
        <v>667</v>
      </c>
      <c r="E5" s="17" t="s">
        <v>659</v>
      </c>
      <c r="F5" s="8" t="s">
        <v>672</v>
      </c>
      <c r="G5" s="8" t="s">
        <v>140</v>
      </c>
    </row>
    <row r="6" customFormat="false" ht="15" hidden="false" customHeight="false" outlineLevel="0" collapsed="false">
      <c r="A6" s="8" t="s">
        <v>673</v>
      </c>
      <c r="B6" s="8" t="s">
        <v>674</v>
      </c>
      <c r="C6" s="8" t="s">
        <v>26</v>
      </c>
      <c r="D6" s="17" t="s">
        <v>658</v>
      </c>
      <c r="E6" s="17" t="s">
        <v>659</v>
      </c>
      <c r="F6" s="8" t="s">
        <v>675</v>
      </c>
      <c r="G6" s="8" t="s">
        <v>145</v>
      </c>
    </row>
    <row r="7" customFormat="false" ht="23.85" hidden="false" customHeight="false" outlineLevel="0" collapsed="false">
      <c r="A7" s="8" t="s">
        <v>676</v>
      </c>
      <c r="B7" s="8" t="s">
        <v>677</v>
      </c>
      <c r="C7" s="8" t="s">
        <v>26</v>
      </c>
      <c r="D7" s="17" t="s">
        <v>658</v>
      </c>
      <c r="E7" s="17" t="s">
        <v>659</v>
      </c>
      <c r="F7" s="8" t="s">
        <v>209</v>
      </c>
      <c r="G7" s="8" t="s">
        <v>209</v>
      </c>
    </row>
    <row r="8" customFormat="false" ht="23.85" hidden="false" customHeight="false" outlineLevel="0" collapsed="false">
      <c r="A8" s="8" t="s">
        <v>678</v>
      </c>
      <c r="B8" s="8" t="s">
        <v>679</v>
      </c>
      <c r="C8" s="8" t="s">
        <v>663</v>
      </c>
      <c r="D8" s="17" t="s">
        <v>658</v>
      </c>
      <c r="E8" s="17" t="s">
        <v>658</v>
      </c>
      <c r="F8" s="8" t="s">
        <v>680</v>
      </c>
      <c r="G8" s="8" t="s">
        <v>681</v>
      </c>
    </row>
    <row r="9" customFormat="false" ht="15" hidden="false" customHeight="false" outlineLevel="0" collapsed="false">
      <c r="A9" s="8" t="s">
        <v>682</v>
      </c>
      <c r="B9" s="8" t="s">
        <v>683</v>
      </c>
      <c r="C9" s="8" t="s">
        <v>663</v>
      </c>
      <c r="D9" s="17" t="s">
        <v>659</v>
      </c>
      <c r="E9" s="17" t="s">
        <v>667</v>
      </c>
      <c r="F9" s="8" t="s">
        <v>684</v>
      </c>
      <c r="G9" s="8" t="s">
        <v>685</v>
      </c>
    </row>
    <row r="10" customFormat="false" ht="15" hidden="false" customHeight="false" outlineLevel="0" collapsed="false">
      <c r="A10" s="8" t="s">
        <v>686</v>
      </c>
      <c r="B10" s="8" t="s">
        <v>687</v>
      </c>
      <c r="C10" s="8" t="s">
        <v>26</v>
      </c>
      <c r="D10" s="17" t="s">
        <v>659</v>
      </c>
      <c r="E10" s="17" t="s">
        <v>658</v>
      </c>
      <c r="F10" s="8" t="s">
        <v>688</v>
      </c>
      <c r="G10" s="8" t="s">
        <v>192</v>
      </c>
    </row>
    <row r="11" customFormat="false" ht="15" hidden="false" customHeight="false" outlineLevel="0" collapsed="false">
      <c r="A11" s="8" t="s">
        <v>689</v>
      </c>
      <c r="B11" s="8" t="s">
        <v>690</v>
      </c>
      <c r="C11" s="8" t="s">
        <v>28</v>
      </c>
      <c r="D11" s="17" t="s">
        <v>658</v>
      </c>
      <c r="E11" s="17" t="s">
        <v>658</v>
      </c>
      <c r="F11" s="8" t="s">
        <v>691</v>
      </c>
      <c r="G11" s="8" t="s">
        <v>165</v>
      </c>
    </row>
    <row r="12" customFormat="false" ht="15" hidden="false" customHeight="false" outlineLevel="0" collapsed="false">
      <c r="A12" s="8" t="s">
        <v>692</v>
      </c>
      <c r="B12" s="8" t="s">
        <v>693</v>
      </c>
      <c r="C12" s="8" t="s">
        <v>28</v>
      </c>
      <c r="D12" s="17" t="s">
        <v>658</v>
      </c>
      <c r="E12" s="17" t="s">
        <v>667</v>
      </c>
      <c r="F12" s="8" t="s">
        <v>694</v>
      </c>
      <c r="G12" s="8" t="s">
        <v>178</v>
      </c>
    </row>
    <row r="13" customFormat="false" ht="23.85" hidden="false" customHeight="false" outlineLevel="0" collapsed="false">
      <c r="A13" s="8" t="s">
        <v>695</v>
      </c>
      <c r="B13" s="8" t="s">
        <v>696</v>
      </c>
      <c r="C13" s="8" t="s">
        <v>663</v>
      </c>
      <c r="D13" s="17" t="s">
        <v>659</v>
      </c>
      <c r="E13" s="17" t="s">
        <v>658</v>
      </c>
      <c r="F13" s="8" t="s">
        <v>697</v>
      </c>
      <c r="G13" s="8" t="s">
        <v>214</v>
      </c>
    </row>
  </sheetData>
  <autoFilter ref="A1:G1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0"/>
  </cols>
  <sheetData>
    <row r="1" customFormat="false" ht="17.35" hidden="false" customHeight="false" outlineLevel="0" collapsed="false">
      <c r="A1" s="1" t="s">
        <v>698</v>
      </c>
      <c r="B1" s="18"/>
    </row>
    <row r="2" customFormat="false" ht="15" hidden="false" customHeight="false" outlineLevel="0" collapsed="false">
      <c r="A2" s="3"/>
      <c r="B2" s="18"/>
    </row>
    <row r="3" customFormat="false" ht="15" hidden="false" customHeight="false" outlineLevel="0" collapsed="false">
      <c r="A3" s="3" t="s">
        <v>34</v>
      </c>
      <c r="B3" s="18"/>
    </row>
    <row r="4" customFormat="false" ht="15" hidden="false" customHeight="false" outlineLevel="0" collapsed="false">
      <c r="A4" s="19" t="s">
        <v>22</v>
      </c>
      <c r="B4" s="18" t="s">
        <v>699</v>
      </c>
    </row>
    <row r="5" customFormat="false" ht="15" hidden="false" customHeight="false" outlineLevel="0" collapsed="false">
      <c r="A5" s="19" t="s">
        <v>24</v>
      </c>
      <c r="B5" s="18" t="s">
        <v>700</v>
      </c>
    </row>
    <row r="6" customFormat="false" ht="15" hidden="false" customHeight="false" outlineLevel="0" collapsed="false">
      <c r="A6" s="19" t="s">
        <v>26</v>
      </c>
      <c r="B6" s="18" t="s">
        <v>27</v>
      </c>
    </row>
    <row r="7" customFormat="false" ht="15" hidden="false" customHeight="false" outlineLevel="0" collapsed="false">
      <c r="A7" s="19" t="s">
        <v>28</v>
      </c>
      <c r="B7" s="18" t="s">
        <v>701</v>
      </c>
    </row>
    <row r="8" customFormat="false" ht="15" hidden="false" customHeight="false" outlineLevel="0" collapsed="false">
      <c r="A8" s="3"/>
      <c r="B8" s="18"/>
    </row>
    <row r="9" customFormat="false" ht="15" hidden="false" customHeight="false" outlineLevel="0" collapsed="false">
      <c r="A9" s="3" t="s">
        <v>702</v>
      </c>
      <c r="B9" s="18"/>
    </row>
    <row r="10" customFormat="false" ht="15" hidden="false" customHeight="false" outlineLevel="0" collapsed="false">
      <c r="A10" s="19" t="s">
        <v>35</v>
      </c>
      <c r="B10" s="18" t="s">
        <v>703</v>
      </c>
    </row>
    <row r="11" customFormat="false" ht="15" hidden="false" customHeight="false" outlineLevel="0" collapsed="false">
      <c r="A11" s="19" t="s">
        <v>37</v>
      </c>
      <c r="B11" s="18" t="s">
        <v>704</v>
      </c>
    </row>
    <row r="12" customFormat="false" ht="15" hidden="false" customHeight="false" outlineLevel="0" collapsed="false">
      <c r="A12" s="19" t="s">
        <v>40</v>
      </c>
      <c r="B12" s="18" t="s">
        <v>705</v>
      </c>
    </row>
    <row r="13" customFormat="false" ht="15" hidden="false" customHeight="false" outlineLevel="0" collapsed="false">
      <c r="A13" s="3"/>
      <c r="B13" s="18"/>
    </row>
    <row r="14" customFormat="false" ht="15" hidden="false" customHeight="false" outlineLevel="0" collapsed="false">
      <c r="A14" s="3" t="s">
        <v>706</v>
      </c>
      <c r="B14" s="18"/>
    </row>
    <row r="15" customFormat="false" ht="15" hidden="false" customHeight="false" outlineLevel="0" collapsed="false">
      <c r="A15" s="19" t="s">
        <v>85</v>
      </c>
      <c r="B15" s="18" t="s">
        <v>707</v>
      </c>
    </row>
    <row r="16" customFormat="false" ht="15" hidden="false" customHeight="false" outlineLevel="0" collapsed="false">
      <c r="A16" s="19" t="s">
        <v>708</v>
      </c>
      <c r="B16" s="18" t="s">
        <v>709</v>
      </c>
    </row>
    <row r="17" customFormat="false" ht="15" hidden="false" customHeight="false" outlineLevel="0" collapsed="false">
      <c r="A17" s="19" t="s">
        <v>199</v>
      </c>
      <c r="B17" s="18" t="s">
        <v>710</v>
      </c>
    </row>
    <row r="18" customFormat="false" ht="15" hidden="false" customHeight="false" outlineLevel="0" collapsed="false">
      <c r="A18" s="19" t="s">
        <v>212</v>
      </c>
      <c r="B18" s="18" t="s">
        <v>711</v>
      </c>
    </row>
    <row r="19" customFormat="false" ht="15" hidden="false" customHeight="false" outlineLevel="0" collapsed="false">
      <c r="A19" s="3"/>
      <c r="B19" s="18"/>
    </row>
    <row r="20" customFormat="false" ht="15" hidden="false" customHeight="false" outlineLevel="0" collapsed="false">
      <c r="A20" s="3" t="s">
        <v>712</v>
      </c>
      <c r="B20" s="18"/>
    </row>
    <row r="21" customFormat="false" ht="15" hidden="false" customHeight="false" outlineLevel="0" collapsed="false">
      <c r="A21" s="20" t="s">
        <v>713</v>
      </c>
      <c r="B21" s="18" t="s">
        <v>714</v>
      </c>
    </row>
    <row r="22" customFormat="false" ht="15" hidden="false" customHeight="false" outlineLevel="0" collapsed="false">
      <c r="A22" s="21" t="s">
        <v>715</v>
      </c>
      <c r="B22" s="18" t="s">
        <v>716</v>
      </c>
    </row>
    <row r="23" customFormat="false" ht="15" hidden="false" customHeight="false" outlineLevel="0" collapsed="false">
      <c r="A23" s="19" t="s">
        <v>717</v>
      </c>
      <c r="B23" s="18" t="s">
        <v>718</v>
      </c>
    </row>
    <row r="24" customFormat="false" ht="15" hidden="false" customHeight="false" outlineLevel="0" collapsed="false">
      <c r="A24" s="3"/>
      <c r="B24" s="18"/>
    </row>
    <row r="25" customFormat="false" ht="15" hidden="false" customHeight="false" outlineLevel="0" collapsed="false">
      <c r="A25" s="3" t="s">
        <v>719</v>
      </c>
      <c r="B25" s="18"/>
    </row>
    <row r="26" customFormat="false" ht="15" hidden="false" customHeight="false" outlineLevel="0" collapsed="false">
      <c r="A26" s="19" t="s">
        <v>720</v>
      </c>
      <c r="B26" s="18" t="s">
        <v>721</v>
      </c>
    </row>
    <row r="27" customFormat="false" ht="15" hidden="false" customHeight="false" outlineLevel="0" collapsed="false">
      <c r="A27" s="19" t="s">
        <v>722</v>
      </c>
      <c r="B27" s="18" t="s">
        <v>723</v>
      </c>
    </row>
    <row r="28" customFormat="false" ht="15" hidden="false" customHeight="false" outlineLevel="0" collapsed="false">
      <c r="A28" s="19" t="s">
        <v>724</v>
      </c>
      <c r="B28" s="18" t="s">
        <v>725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LibreOffice/26.2.6.3$MacOSX_X86_64 LibreOffice_project/8221e31b3ac356a1623c672912a3d2b492f7e3d1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2026-10-21T21:36:10Z</dcterms:created>
  <dc:creator>openpyxl</dc:creator>
  <dc:description/>
  <dc:language>pt-BR</dc:language>
  <cp:lastModifiedBy/>
  <dcterms:modified xsi:type="dcterms:W3CDTF">2026-10-21T21:36:10Z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