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shboard" sheetId="1" state="visible" r:id="rId1"/>
    <sheet name="Tasks" sheetId="2" state="visible" r:id="rId2"/>
    <sheet name="Decisions" sheetId="3" state="visible" r:id="rId3"/>
    <sheet name="OS_Matrix" sheetId="4" state="visible" r:id="rId4"/>
    <sheet name="Feature_by_OS" sheetId="5" state="visible" r:id="rId5"/>
    <sheet name="Components" sheetId="6" state="visible" r:id="rId6"/>
    <sheet name="Evidence" sheetId="7" state="visible" r:id="rId7"/>
    <sheet name="Risks" sheetId="8" state="visible" r:id="rId8"/>
    <sheet name="Legend" sheetId="9" state="visible" r:id="rId9"/>
  </sheets>
  <definedNames>
    <definedName name="_xlnm._FilterDatabase" localSheetId="1" hidden="1">'Tasks'!$A$1:$L$34</definedName>
    <definedName name="_xlnm._FilterDatabase" localSheetId="2" hidden="1">'Decisions'!$A$1:$H$11</definedName>
    <definedName name="_xlnm._FilterDatabase" localSheetId="3" hidden="1">'OS_Matrix'!$A$1:$Q$18</definedName>
    <definedName name="_xlnm._FilterDatabase" localSheetId="4" hidden="1">'Feature_by_OS'!$A$1:$G$17</definedName>
    <definedName name="_xlnm._FilterDatabase" localSheetId="5" hidden="1">'Components'!$A$1:$H$9</definedName>
    <definedName name="_xlnm._FilterDatabase" localSheetId="6" hidden="1">'Evidence'!$A$1:$G$31</definedName>
    <definedName name="_xlnm._FilterDatabase" localSheetId="7" hidden="1">'Risks'!$A$1:$G$13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4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4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plan</author>
  </authors>
  <commentList>
    <comment ref="D14" authorId="0" shapeId="0">
      <text>
        <t>Sum of Tasks!I (min sessions) for this band. Edit the inputs in Tasks, not here.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22" min="1" max="2"/>
    <col width="14" customWidth="1" style="22" min="3" max="6"/>
  </cols>
  <sheetData>
    <row r="1" ht="17.35" customHeight="1" s="23">
      <c r="A1" s="24" t="inlineStr">
        <is>
          <t>Broad compatibility plan v4 - OpenAudio BeBoB MAFW, OS X 10.9 to macOS 15 (Legacy 10.6.8-10.8.5 dropped, R130)</t>
        </is>
      </c>
    </row>
    <row r="2" ht="15" customHeight="1" s="23">
      <c r="A2" s="25" t="inlineStr">
        <is>
          <t>2026-10-21 (R129) - Modern edition works on macOS 14.8.9 Intel (Audiophile); Classic + Modern 0.3.0 packages built; DEC-5, DEC-9, DEC-10 answered. Legacy and Apple Silicon not started. 2026-10-21 - DEC-5 answered: three editions (Legacy / Classic / Modern); Modern Intel in progress on the dev Mac (loads and plays, R126); plan: BROAD_COMPATIBILITY_PLAN_v2.md</t>
        </is>
      </c>
    </row>
    <row r="3"/>
    <row r="4" ht="15" customHeight="1" s="23">
      <c r="A4" s="26" t="inlineStr">
        <is>
          <t>Short answer</t>
        </is>
      </c>
    </row>
    <row r="5" ht="30" customHeight="1" s="23">
      <c r="A5" s="27" t="inlineStr">
        <is>
          <t>One package / one version for 10.6.8-15</t>
        </is>
      </c>
      <c r="B5" s="28" t="inlineStr">
        <is>
          <t>Yes, feasible (no checked fact forbids it)</t>
        </is>
      </c>
    </row>
    <row r="6" ht="30" customHeight="1" s="23">
      <c r="A6" s="27" t="inlineStr">
        <is>
          <t>One binary per component</t>
        </is>
      </c>
      <c r="B6" s="28" t="inlineStr">
        <is>
          <t>No: kernel symbol generations (E-1, E-2), arm64e kext (E-6), Swift floor 10.9 (E-11)</t>
        </is>
      </c>
    </row>
    <row r="7" ht="30" customHeight="1" s="23">
      <c r="A7" s="27" t="inlineStr">
        <is>
          <t>Kernel-extension builds in the package</t>
        </is>
      </c>
      <c r="B7" s="28" t="inlineStr">
        <is>
          <t>2: Legacy (i386 + x86_64, 10.6 SDK) and Main (x86_64 10.13 SDK + arm64e 15 SDK in one file); 1 if U-12 holds</t>
        </is>
      </c>
    </row>
    <row r="8" ht="30" customHeight="1" s="23">
      <c r="A8" s="27" t="inlineStr">
        <is>
          <t>As separate downloads</t>
        </is>
      </c>
      <c r="B8" s="28" t="inlineStr">
        <is>
          <t>Decided (DEC-5, user 2026-10-21): 3 editions - Legacy 10.6.8-10.8.5, Classic 10.9-10.15, Modern 11-15 (Intel, Apple Silicon later); plan v2 §11a</t>
        </is>
      </c>
    </row>
    <row r="9" ht="30" customHeight="1" s="23">
      <c r="A9" s="27" t="inlineStr">
        <is>
          <t>What older OSes lose</t>
        </is>
      </c>
      <c r="B9" s="28" t="inlineStr">
        <is>
          <t>No audio / mixer / MIDI function expected; panel cosmetics on 10.6-10.8 (Feature_by_OS), or the whole panel if DEC-4 = c</t>
        </is>
      </c>
    </row>
    <row r="10" ht="30" customHeight="1" s="23">
      <c r="A10" s="27" t="inlineStr">
        <is>
          <t>Recommendation</t>
        </is>
      </c>
      <c r="B10" s="28" t="inlineStr">
        <is>
          <t>Stage it: S1 (Intel 10.9-15), then S2 (Apple Silicon, needs hardware), S3 (10.6.8-10.8.5) only if wanted</t>
        </is>
      </c>
    </row>
    <row r="11"/>
    <row r="12" ht="15" customHeight="1" s="23">
      <c r="A12" s="26" t="inlineStr">
        <is>
          <t>Effort by band (sessions; refreshes from Tasks)</t>
        </is>
      </c>
    </row>
    <row r="13" ht="15" customHeight="1" s="23">
      <c r="A13" s="29" t="inlineStr">
        <is>
          <t>Band</t>
        </is>
      </c>
      <c r="B13" s="29" t="inlineStr">
        <is>
          <t>Meaning</t>
        </is>
      </c>
      <c r="C13" s="29" t="inlineStr">
        <is>
          <t>Tasks</t>
        </is>
      </c>
      <c r="D13" s="29" t="inlineStr">
        <is>
          <t>Min</t>
        </is>
      </c>
      <c r="E13" s="29" t="inlineStr">
        <is>
          <t>Max</t>
        </is>
      </c>
      <c r="F13" s="29" t="inlineStr">
        <is>
          <t>Done / partly</t>
        </is>
      </c>
    </row>
    <row r="14" ht="15" customHeight="1" s="23">
      <c r="A14" s="30" t="inlineStr">
        <is>
          <t>C</t>
        </is>
      </c>
      <c r="B14" s="31" t="inlineStr">
        <is>
          <t>Common</t>
        </is>
      </c>
      <c r="C14" s="30">
        <f>COUNTIF(Tasks!$C$2:$C$200,A14)</f>
        <v/>
      </c>
      <c r="D14" s="32">
        <f>SUMIFS(Tasks!$I$2:$I$200,Tasks!$C$2:$C$200,A14)</f>
        <v/>
      </c>
      <c r="E14" s="32">
        <f>SUMIFS(Tasks!$J$2:$J$200,Tasks!$C$2:$C$200,A14)</f>
        <v/>
      </c>
      <c r="F14" s="30">
        <f>COUNTIFS(Tasks!$C$2:$C$200,A14,Tasks!$G$2:$G$200,"Done*")+COUNTIFS(Tasks!$C$2:$C$200,A14,Tasks!$G$2:$G$200,"Partly done")</f>
        <v/>
      </c>
    </row>
    <row r="15" ht="15" customHeight="1" s="23">
      <c r="A15" s="30" t="inlineStr">
        <is>
          <t>M</t>
        </is>
      </c>
      <c r="B15" s="31" t="inlineStr">
        <is>
          <t>Intel 10.9-15</t>
        </is>
      </c>
      <c r="C15" s="30">
        <f>COUNTIF(Tasks!$C$2:$C$200,A15)</f>
        <v/>
      </c>
      <c r="D15" s="32">
        <f>SUMIFS(Tasks!$I$2:$I$200,Tasks!$C$2:$C$200,A15)</f>
        <v/>
      </c>
      <c r="E15" s="32">
        <f>SUMIFS(Tasks!$J$2:$J$200,Tasks!$C$2:$C$200,A15)</f>
        <v/>
      </c>
      <c r="F15" s="30">
        <f>COUNTIFS(Tasks!$C$2:$C$200,A15,Tasks!$G$2:$G$200,"Done*")+COUNTIFS(Tasks!$C$2:$C$200,A15,Tasks!$G$2:$G$200,"Partly done")</f>
        <v/>
      </c>
    </row>
    <row r="16" ht="15" customHeight="1" s="23">
      <c r="A16" s="30" t="inlineStr">
        <is>
          <t>AS</t>
        </is>
      </c>
      <c r="B16" s="31" t="inlineStr">
        <is>
          <t>Apple Silicon 11-15</t>
        </is>
      </c>
      <c r="C16" s="30">
        <f>COUNTIF(Tasks!$C$2:$C$200,A16)</f>
        <v/>
      </c>
      <c r="D16" s="32">
        <f>SUMIFS(Tasks!$I$2:$I$200,Tasks!$C$2:$C$200,A16)</f>
        <v/>
      </c>
      <c r="E16" s="32">
        <f>SUMIFS(Tasks!$J$2:$J$200,Tasks!$C$2:$C$200,A16)</f>
        <v/>
      </c>
      <c r="F16" s="30">
        <f>COUNTIFS(Tasks!$C$2:$C$200,A16,Tasks!$G$2:$G$200,"Done*")+COUNTIFS(Tasks!$C$2:$C$200,A16,Tasks!$G$2:$G$200,"Partly done")</f>
        <v/>
      </c>
    </row>
    <row r="17" ht="15" customHeight="1" s="23">
      <c r="A17" s="30" t="inlineStr">
        <is>
          <t>L</t>
        </is>
      </c>
      <c r="B17" s="31" t="inlineStr">
        <is>
          <t>10.6.8-10.8.5 (DROPPED 2026-10-22)</t>
        </is>
      </c>
      <c r="C17" s="30">
        <f>COUNTIF(Tasks!$C$2:$C$200,A17)</f>
        <v/>
      </c>
      <c r="D17" s="32">
        <f>SUMIFS(Tasks!$I$2:$I$200,Tasks!$C$2:$C$200,A17)</f>
        <v/>
      </c>
      <c r="E17" s="32">
        <f>SUMIFS(Tasks!$J$2:$J$200,Tasks!$C$2:$C$200,A17)</f>
        <v/>
      </c>
      <c r="F17" s="30">
        <f>COUNTIFS(Tasks!$C$2:$C$200,A17,Tasks!$G$2:$G$200,"Done*")+COUNTIFS(Tasks!$C$2:$C$200,A17,Tasks!$G$2:$G$200,"Partly done")</f>
        <v/>
      </c>
    </row>
    <row r="18" ht="15" customHeight="1" s="23">
      <c r="A18" s="33" t="inlineStr">
        <is>
          <t>Total</t>
        </is>
      </c>
      <c r="B18" s="33" t="n"/>
      <c r="C18" s="33">
        <f>SUM(C14:C17)</f>
        <v/>
      </c>
      <c r="D18" s="34">
        <f>SUM(D14:D17)</f>
        <v/>
      </c>
      <c r="E18" s="34">
        <f>SUM(E14:E17)</f>
        <v/>
      </c>
      <c r="F18" s="33">
        <f>SUM(F14:F17)</f>
        <v/>
      </c>
    </row>
    <row r="19"/>
    <row r="20" ht="15" customHeight="1" s="23">
      <c r="A20" s="26" t="inlineStr">
        <is>
          <t>Effort by scenario (sessions)</t>
        </is>
      </c>
    </row>
    <row r="21" ht="15" customHeight="1" s="23">
      <c r="A21" s="29" t="inlineStr">
        <is>
          <t>Scenario</t>
        </is>
      </c>
      <c r="B21" s="29" t="inlineStr">
        <is>
          <t>Covers</t>
        </is>
      </c>
      <c r="C21" s="29" t="inlineStr">
        <is>
          <t>Bands</t>
        </is>
      </c>
      <c r="D21" s="29" t="inlineStr">
        <is>
          <t>Min</t>
        </is>
      </c>
      <c r="E21" s="29" t="inlineStr">
        <is>
          <t>Max</t>
        </is>
      </c>
    </row>
    <row r="22" ht="15" customHeight="1" s="23">
      <c r="A22" s="35" t="inlineStr">
        <is>
          <t>S1</t>
        </is>
      </c>
      <c r="B22" s="31" t="inlineStr">
        <is>
          <t>Intel 10.9-15</t>
        </is>
      </c>
      <c r="C22" s="30" t="inlineStr">
        <is>
          <t>C + M</t>
        </is>
      </c>
      <c r="D22" s="32">
        <f>D14+D15</f>
        <v/>
      </c>
      <c r="E22" s="32">
        <f>E14+E15</f>
        <v/>
      </c>
    </row>
    <row r="23" ht="15" customHeight="1" s="23">
      <c r="A23" s="35" t="inlineStr">
        <is>
          <t>S2</t>
        </is>
      </c>
      <c r="B23" s="31" t="inlineStr">
        <is>
          <t>S1 + Apple Silicon 11-15</t>
        </is>
      </c>
      <c r="C23" s="30" t="inlineStr">
        <is>
          <t>C + M + AS</t>
        </is>
      </c>
      <c r="D23" s="32">
        <f>D14+D15+D16</f>
        <v/>
      </c>
      <c r="E23" s="32">
        <f>E14+E15+E16</f>
        <v/>
      </c>
    </row>
    <row r="24" ht="15" customHeight="1" s="23">
      <c r="A24" s="35" t="inlineStr">
        <is>
          <t>S3</t>
        </is>
      </c>
      <c r="B24" s="31" t="inlineStr">
        <is>
          <t>WITHDRAWN (Legacy dropped)</t>
        </is>
      </c>
      <c r="C24" s="30" t="inlineStr">
        <is>
          <t>C + M + AS + L</t>
        </is>
      </c>
      <c r="D24" s="32">
        <f>D14+D15+D16+D17</f>
        <v/>
      </c>
      <c r="E24" s="32">
        <f>E14+E15+E16+E17</f>
        <v/>
      </c>
    </row>
    <row r="25" ht="15" customHeight="1" s="23">
      <c r="A25" s="35" t="inlineStr">
        <is>
          <t>S1 + L</t>
        </is>
      </c>
      <c r="B25" s="31" t="inlineStr">
        <is>
          <t>All Intel 10.6.8-15, no Apple Silicon</t>
        </is>
      </c>
      <c r="C25" s="30" t="inlineStr">
        <is>
          <t>C + M + L</t>
        </is>
      </c>
      <c r="D25" s="32">
        <f>D14+D15+D17</f>
        <v/>
      </c>
      <c r="E25" s="32">
        <f>E14+E15+E17</f>
        <v/>
      </c>
    </row>
    <row r="26" ht="15" customHeight="1" s="23">
      <c r="A26" s="25" t="inlineStr">
        <is>
          <t>Includes the on-device checks (BC-6), which run only on request: M 2, AS 1-2, L 1-2 sessions.</t>
        </is>
      </c>
    </row>
    <row r="27"/>
    <row r="28" ht="15" customHeight="1" s="23">
      <c r="A28" s="26" t="inlineStr">
        <is>
          <t>Status</t>
        </is>
      </c>
    </row>
    <row r="29" ht="15" customHeight="1" s="23">
      <c r="A29" s="36" t="inlineStr">
        <is>
          <t>Decisions open</t>
        </is>
      </c>
      <c r="B29" s="37" t="n"/>
      <c r="C29" s="35">
        <f>COUNTIF(Decisions!$G$2:$G$100,"Open")</f>
        <v/>
      </c>
    </row>
    <row r="30" ht="15" customHeight="1" s="23">
      <c r="A30" s="36" t="inlineStr">
        <is>
          <t>Decisions answered</t>
        </is>
      </c>
      <c r="B30" s="37" t="n"/>
      <c r="C30" s="35">
        <f>COUNTIF(Decisions!$G$2:$G$100,"Answered")</f>
        <v/>
      </c>
    </row>
    <row r="31" ht="15" customHeight="1" s="23">
      <c r="A31" s="36" t="inlineStr">
        <is>
          <t>Tasks waiting for a decision</t>
        </is>
      </c>
      <c r="B31" s="37" t="n"/>
      <c r="C31" s="35">
        <f>COUNTIF(Tasks!$G$2:$G$200,"Waiting decision")</f>
        <v/>
      </c>
    </row>
    <row r="32" ht="15" customHeight="1" s="23">
      <c r="A32" s="36" t="inlineStr">
        <is>
          <t>Tasks done or partly done (static)</t>
        </is>
      </c>
      <c r="B32" s="37" t="n"/>
      <c r="C32" s="35">
        <f>COUNTIF(Tasks!$G$2:$G$200,"Done*")+COUNTIF(Tasks!$G$2:$G$200,"Partly done")</f>
        <v/>
      </c>
    </row>
    <row r="33" ht="15" customHeight="1" s="23">
      <c r="A33" s="36" t="inlineStr">
        <is>
          <t>On-device tasks (on request / blocked)</t>
        </is>
      </c>
      <c r="B33" s="37" t="n"/>
      <c r="C33" s="35">
        <f>COUNTIF(Tasks!$G$2:$G$200,"On request")+COUNTIF(Tasks!$G$2:$G$200,"Blocked (hardware)")</f>
        <v/>
      </c>
    </row>
    <row r="34" ht="15" customHeight="1" s="23">
      <c r="A34" s="36" t="inlineStr">
        <is>
          <t>Evidence checked (E-n)</t>
        </is>
      </c>
      <c r="B34" s="37" t="n"/>
      <c r="C34" s="35">
        <f>COUNTIF(Evidence!$B$2:$B$200,"Checked")</f>
        <v/>
      </c>
    </row>
    <row r="35" ht="15" customHeight="1" s="23">
      <c r="A35" s="36" t="inlineStr">
        <is>
          <t>Claims still unverified (U-n)</t>
        </is>
      </c>
      <c r="B35" s="37" t="n"/>
      <c r="C35" s="35">
        <f>COUNTIF(Evidence!$B$2:$B$200,"Unverified")</f>
        <v/>
      </c>
    </row>
    <row r="36"/>
    <row r="37" ht="15" customHeight="1" s="23">
      <c r="A37" s="26" t="inlineStr">
        <is>
          <t>Key findings of 2026-10-21</t>
        </is>
      </c>
    </row>
    <row r="38" ht="27.75" customHeight="1" s="23">
      <c r="A38" s="28" t="inlineStr">
        <is>
          <t>E-1/E-2: the 0.2.2 kext imports _IOLockSleep_darwin14, _IOLockWakeup_darwin14 and IOService::configureReport/updateReport - names old kernels lack, so 10.6-10.8 need an old-SDK build.</t>
        </is>
      </c>
    </row>
    <row r="39" ht="27.75" customHeight="1" s="23">
      <c r="A39" s="28" t="inlineStr">
        <is>
          <t>E-4: on macOS 14.8.4 Intel, 775 of the 777 imports are defined; the 2 others are reserved IOAudioEngine slots 15/16 (U-11).</t>
        </is>
      </c>
    </row>
    <row r="40" ht="27.75" customHeight="1" s="23">
      <c r="A40" s="28" t="inlineStr">
        <is>
          <t>E-5: the FireWire and IOAudio kernel families ship for arm64e (Apple Silicon kernel caches, macOS 14.8.4 KDK), including the classic-DCL createLocalIsochPort.</t>
        </is>
      </c>
    </row>
    <row r="41" ht="27.75" customHeight="1" s="23">
      <c r="A41" s="28" t="inlineStr">
        <is>
          <t>E-6: an arm64e IOAudio driver must implement driverDesiresHiResSampleIntervals().</t>
        </is>
      </c>
    </row>
    <row r="42" ht="27.75" customHeight="1" s="23">
      <c r="A42" s="28" t="inlineStr">
        <is>
          <t>E-10: the 0.2.2 Swift 4.1 panel starts on Intel macOS 14.8.9 (demo mode).</t>
        </is>
      </c>
    </row>
    <row r="43" ht="27.75" customHeight="1" s="23">
      <c r="A43" s="28" t="inlineStr">
        <is>
          <t>E-12: the M-Audio MIDI plug-in is x86_64 + i386 with minimum 10.7 - no arm64, and 10.6 is unverified.</t>
        </is>
      </c>
    </row>
    <row r="44">
      <c r="A44" s="22" t="inlineStr">
        <is>
          <t>E-17 (R125): built with the macOS 15.2 SDK, the kext resolves 778 of 778 imports on the live 14.8.9 kernel (the reserved slots become the HiRes methods).</t>
        </is>
      </c>
    </row>
    <row r="45">
      <c r="A45" s="22" t="inlineStr">
        <is>
          <t>E-18 (R126): the Modern kext loads on 14.8.9 Intel and plays through the FW Audiophile (TX 46/46 ms, no late callback); one dropout during real use, the adapter's FireWire controller left PCI first (cause open).</t>
        </is>
      </c>
    </row>
    <row r="46">
      <c r="A46" s="22" t="inlineStr">
        <is>
          <t>R127: monitor law for phones only (outputs and aux out back on the official laws); the panel's About tab names the edition (OAEdition).</t>
        </is>
      </c>
    </row>
    <row r="47">
      <c r="A47" s="22" t="inlineStr">
        <is>
          <t>R128: package 0.3.0 per edition (Classic / Modern) with disk images; OS range enforced by the installer; Modern postinstall gates the kext with kmutil.</t>
        </is>
      </c>
    </row>
    <row r="48">
      <c r="A48" s="22" t="inlineStr">
        <is>
          <t>R129: one source, two builds (Classic 10.13 SDK, Modern 15.2 SDK); OA_BAND_MODERN is unused by the sources; docs/EDITIONS.md lists the differences and what is untested</t>
        </is>
      </c>
    </row>
    <row r="49">
      <c r="A49" t="inlineStr">
        <is>
          <t>R130 (2026-10-22): scope floor is 10.9; Legacy edition and band L dropped; tasks BC-1.3, 2.2, 3.4, 4.4, 4.5, 4.7, 6.3 cancelled (effort zeroed); DEC-1 answered b; DEC-2, 4, 6 moot</t>
        </is>
      </c>
    </row>
  </sheetData>
  <mergeCells count="19">
    <mergeCell ref="A41:F41"/>
    <mergeCell ref="A30:B30"/>
    <mergeCell ref="B7:F7"/>
    <mergeCell ref="A42:F42"/>
    <mergeCell ref="B8:F8"/>
    <mergeCell ref="A43:F43"/>
    <mergeCell ref="A38:F38"/>
    <mergeCell ref="B10:F10"/>
    <mergeCell ref="A33:B33"/>
    <mergeCell ref="A32:B32"/>
    <mergeCell ref="A40:F40"/>
    <mergeCell ref="A39:F39"/>
    <mergeCell ref="B9:F9"/>
    <mergeCell ref="A35:B35"/>
    <mergeCell ref="B6:F6"/>
    <mergeCell ref="A29:B29"/>
    <mergeCell ref="B5:F5"/>
    <mergeCell ref="A31:B31"/>
    <mergeCell ref="A34:B3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22" min="1" max="1"/>
    <col width="16" customWidth="1" style="22" min="2" max="2"/>
    <col width="6" customWidth="1" style="22" min="3" max="3"/>
    <col width="58" customWidth="1" style="22" min="4" max="4"/>
    <col width="40" customWidth="1" style="22" min="5" max="5"/>
    <col width="20" customWidth="1" style="22" min="6" max="6"/>
    <col width="16" customWidth="1" style="22" min="7" max="7"/>
    <col width="12" customWidth="1" style="22" min="8" max="8"/>
    <col width="9" customWidth="1" style="22" min="9" max="10"/>
    <col width="12" customWidth="1" style="22" min="11" max="11"/>
    <col width="46" customWidth="1" style="22" min="12" max="12"/>
  </cols>
  <sheetData>
    <row r="1" ht="35.05" customHeight="1" s="23">
      <c r="A1" s="29" t="inlineStr">
        <is>
          <t>ID</t>
        </is>
      </c>
      <c r="B1" s="29" t="inlineStr">
        <is>
          <t>Phase</t>
        </is>
      </c>
      <c r="C1" s="29" t="inlineStr">
        <is>
          <t>Band</t>
        </is>
      </c>
      <c r="D1" s="29" t="inlineStr">
        <is>
          <t>Task</t>
        </is>
      </c>
      <c r="E1" s="29" t="inlineStr">
        <is>
          <t>Acceptance (how we know it is done)</t>
        </is>
      </c>
      <c r="F1" s="29" t="inlineStr">
        <is>
          <t>Depends on</t>
        </is>
      </c>
      <c r="G1" s="29" t="inlineStr">
        <is>
          <t>Status</t>
        </is>
      </c>
      <c r="H1" s="29" t="inlineStr">
        <is>
          <t>Who</t>
        </is>
      </c>
      <c r="I1" s="29" t="inlineStr">
        <is>
          <t>Min sessions</t>
        </is>
      </c>
      <c r="J1" s="29" t="inlineStr">
        <is>
          <t>Max sessions</t>
        </is>
      </c>
      <c r="K1" s="29" t="inlineStr">
        <is>
          <t>Plan ref</t>
        </is>
      </c>
      <c r="L1" s="29" t="inlineStr">
        <is>
          <t>Notes</t>
        </is>
      </c>
    </row>
    <row r="2" ht="46.25" customHeight="1" s="23">
      <c r="A2" s="31" t="inlineStr">
        <is>
          <t>BC-1.1</t>
        </is>
      </c>
      <c r="B2" s="31" t="inlineStr">
        <is>
          <t>1 Static evidence</t>
        </is>
      </c>
      <c r="C2" s="30" t="inlineStr">
        <is>
          <t>C</t>
        </is>
      </c>
      <c r="D2" s="31" t="inlineStr">
        <is>
          <t>Symbol audit per kext build x OS: imports vs the KPI symbol sets and family exports of the oldest and newest OS of each band (SL rig 10.6.8 read-only copy, build PC 10.13.6, KDKs 10.9 / 11 / 15)</t>
        </is>
      </c>
      <c r="E2" s="31" t="inlineStr">
        <is>
          <t>A table build x OS with zero unexplained missing symbols</t>
        </is>
      </c>
      <c r="F2" s="31" t="inlineStr">
        <is>
          <t>DEC-1; SL rig reachable</t>
        </is>
      </c>
      <c r="G2" s="38" t="inlineStr">
        <is>
          <t>Partly done</t>
        </is>
      </c>
      <c r="H2" s="31" t="inlineStr">
        <is>
          <t>Claude</t>
        </is>
      </c>
      <c r="I2" s="39" t="n">
        <v>1</v>
      </c>
      <c r="J2" s="39" t="n">
        <v>2</v>
      </c>
      <c r="K2" s="31" t="inlineStr">
        <is>
          <t>§7 BC-1</t>
        </is>
      </c>
      <c r="L2" s="31" t="inlineStr">
        <is>
          <t>2026-10-21: E-1 (28 imports no reference build uses), E-3 (10.13.6 exports both lock names), E-4 (14.8.4 Intel: 2 of 777 missing = reserved slots 15/16). SL rig did not answer SSH.</t>
        </is>
      </c>
    </row>
    <row r="3" ht="35.05" customHeight="1" s="23">
      <c r="A3" s="31" t="inlineStr">
        <is>
          <t>BC-1.2</t>
        </is>
      </c>
      <c r="B3" s="31" t="inlineStr">
        <is>
          <t>1 Static evidence</t>
        </is>
      </c>
      <c r="C3" s="30" t="inlineStr">
        <is>
          <t>C</t>
        </is>
      </c>
      <c r="D3" s="31" t="inlineStr">
        <is>
          <t>Confirm U-1, U-2, U-3, U-6 (K32 defaults, unsigned-kext policy per OS, kext location per OS, Tahoe ceiling) from Apple documentation, man pages and KDKs</t>
        </is>
      </c>
      <c r="E3" s="31" t="inlineStr">
        <is>
          <t>Every OS_Matrix cell has a source; U-1/2/3/6 closed or re-labelled</t>
        </is>
      </c>
      <c r="F3" s="31" t="inlineStr">
        <is>
          <t>—</t>
        </is>
      </c>
      <c r="G3" s="38" t="inlineStr">
        <is>
          <t>Waiting decision</t>
        </is>
      </c>
      <c r="H3" s="31" t="inlineStr">
        <is>
          <t>Claude</t>
        </is>
      </c>
      <c r="I3" s="39" t="n">
        <v>0.5</v>
      </c>
      <c r="J3" s="39" t="n">
        <v>1</v>
      </c>
      <c r="K3" s="31" t="inlineStr">
        <is>
          <t>§3, §7 BC-1</t>
        </is>
      </c>
      <c r="L3" s="31" t="n"/>
    </row>
    <row r="4" ht="23.85" customHeight="1" s="23">
      <c r="A4" s="31" t="inlineStr">
        <is>
          <t>BC-1.3</t>
        </is>
      </c>
      <c r="B4" s="31" t="inlineStr">
        <is>
          <t>1 Static evidence</t>
        </is>
      </c>
      <c r="C4" s="30" t="inlineStr">
        <is>
          <t>L</t>
        </is>
      </c>
      <c r="D4" s="31" t="inlineStr">
        <is>
          <t>i386 (ILP32) audit of the kext: pointer/UInt32 casts, mach_vm sizes, user-client struct layouts for 32- and 64-bit tasks, format strings</t>
        </is>
      </c>
      <c r="E4" s="31" t="inlineStr">
        <is>
          <t>List of findings with file:line; none left unclassified</t>
        </is>
      </c>
      <c r="F4" s="31" t="inlineStr">
        <is>
          <t>DEC-1 = a; DEC-2</t>
        </is>
      </c>
      <c r="G4" s="38" t="inlineStr">
        <is>
          <t>Cancelled (scope, 2026-10-22: floor 10.9)</t>
        </is>
      </c>
      <c r="H4" s="31" t="inlineStr">
        <is>
          <t>Claude</t>
        </is>
      </c>
      <c r="I4" s="39" t="n">
        <v>0</v>
      </c>
      <c r="J4" s="39" t="n">
        <v>0</v>
      </c>
      <c r="K4" s="31" t="inlineStr">
        <is>
          <t>§7 BC-1</t>
        </is>
      </c>
      <c r="L4" s="31" t="n"/>
    </row>
    <row r="5" ht="57.45" customHeight="1" s="23">
      <c r="A5" s="31" t="inlineStr">
        <is>
          <t>BC-1.4</t>
        </is>
      </c>
      <c r="B5" s="31" t="inlineStr">
        <is>
          <t>1 Static evidence</t>
        </is>
      </c>
      <c r="C5" s="30" t="inlineStr">
        <is>
          <t>AS</t>
        </is>
      </c>
      <c r="D5" s="31" t="inlineStr">
        <is>
          <t>Apple Silicon audit of the kext: 16 KiB pages (TPacketPool 4096 packing, 4 KiB meter page, FWSharedSync 0x1000), AbsoluteTime units, pointer authentication on DCL CallProc / FWFunctor, IOCreateThread, inTaskWithPhysicalMask under DART, driverDesiresHiResSampleIntervals</t>
        </is>
      </c>
      <c r="E5" s="31" t="inlineStr">
        <is>
          <t>List of findings with file:line and the fix for each</t>
        </is>
      </c>
      <c r="F5" s="31" t="inlineStr">
        <is>
          <t>DEC-3</t>
        </is>
      </c>
      <c r="G5" s="38" t="inlineStr">
        <is>
          <t>Waiting decision</t>
        </is>
      </c>
      <c r="H5" s="31" t="inlineStr">
        <is>
          <t>Claude</t>
        </is>
      </c>
      <c r="I5" s="39" t="n">
        <v>1</v>
      </c>
      <c r="J5" s="39" t="n">
        <v>1.5</v>
      </c>
      <c r="K5" s="31" t="inlineStr">
        <is>
          <t>§7 BC-1</t>
        </is>
      </c>
      <c r="L5" s="31" t="inlineStr">
        <is>
          <t>Sites already known: TPacketPool.cpp:15-34, FWBaseEngine.cpp:179, FWDCLProgram.cpp:284-477, FWAVCAudioDevice.cpp:212, FWBusReset.cpp:5</t>
        </is>
      </c>
    </row>
    <row r="6" ht="23.85" customHeight="1" s="23">
      <c r="A6" s="31" t="inlineStr">
        <is>
          <t>BC-1.5</t>
        </is>
      </c>
      <c r="B6" s="31" t="inlineStr">
        <is>
          <t>1 Static evidence</t>
        </is>
      </c>
      <c r="C6" s="30" t="inlineStr">
        <is>
          <t>C</t>
        </is>
      </c>
      <c r="D6" s="31" t="inlineStr">
        <is>
          <t>Header compile of the kext per SDK (-fsyntax-only): 10.6 SDK, 10.13 SDK, 15.2 SDK -arch arm64e</t>
        </is>
      </c>
      <c r="E6" s="31" t="inlineStr">
        <is>
          <t>Error list per SDK, each mapped to a BC-3 fix</t>
        </is>
      </c>
      <c r="F6" s="31" t="inlineStr">
        <is>
          <t>DEC-6 (10.6 SDK)</t>
        </is>
      </c>
      <c r="G6" s="38" t="inlineStr">
        <is>
          <t>Waiting decision</t>
        </is>
      </c>
      <c r="H6" s="31" t="inlineStr">
        <is>
          <t>Claude</t>
        </is>
      </c>
      <c r="I6" s="39" t="n">
        <v>0.5</v>
      </c>
      <c r="J6" s="39" t="n">
        <v>1</v>
      </c>
      <c r="K6" s="31" t="inlineStr">
        <is>
          <t>§7 BC-1</t>
        </is>
      </c>
      <c r="L6" s="31" t="n"/>
    </row>
    <row r="7" ht="23.85" customHeight="1" s="23">
      <c r="A7" s="31" t="inlineStr">
        <is>
          <t>BC-1.6</t>
        </is>
      </c>
      <c r="B7" s="31" t="inlineStr">
        <is>
          <t>1 Static evidence</t>
        </is>
      </c>
      <c r="C7" s="30" t="inlineStr">
        <is>
          <t>M</t>
        </is>
      </c>
      <c r="D7" s="31" t="inlineStr">
        <is>
          <t>Panel and Uninstaller API audit (availability per macOS version)</t>
        </is>
      </c>
      <c r="E7" s="31" t="inlineStr">
        <is>
          <t>API list with the OS each needs</t>
        </is>
      </c>
      <c r="F7" s="31" t="inlineStr">
        <is>
          <t>—</t>
        </is>
      </c>
      <c r="G7" s="38" t="inlineStr">
        <is>
          <t>Done (static)</t>
        </is>
      </c>
      <c r="H7" s="31" t="inlineStr">
        <is>
          <t>Claude</t>
        </is>
      </c>
      <c r="I7" s="39" t="n">
        <v>0</v>
      </c>
      <c r="J7" s="39" t="n">
        <v>0</v>
      </c>
      <c r="K7" s="31" t="inlineStr">
        <is>
          <t>§2 E-11</t>
        </is>
      </c>
      <c r="L7" s="31" t="inlineStr">
        <is>
          <t>2026-10-21: 5 panel APIs newer than 10.9; Swift floor 10.9</t>
        </is>
      </c>
    </row>
    <row r="8" ht="23.85" customHeight="1" s="23">
      <c r="A8" s="31" t="inlineStr">
        <is>
          <t>BC-1.7</t>
        </is>
      </c>
      <c r="B8" s="31" t="inlineStr">
        <is>
          <t>1 Static evidence</t>
        </is>
      </c>
      <c r="C8" s="30" t="inlineStr">
        <is>
          <t>C</t>
        </is>
      </c>
      <c r="D8" s="31" t="inlineStr">
        <is>
          <t>MIDI plug-in audit (architectures, minimum OS)</t>
        </is>
      </c>
      <c r="E8" s="31" t="inlineStr">
        <is>
          <t>Architectures and LC_VERSION_MIN known</t>
        </is>
      </c>
      <c r="F8" s="31" t="inlineStr">
        <is>
          <t>—</t>
        </is>
      </c>
      <c r="G8" s="38" t="inlineStr">
        <is>
          <t>Done (static)</t>
        </is>
      </c>
      <c r="H8" s="31" t="inlineStr">
        <is>
          <t>Claude</t>
        </is>
      </c>
      <c r="I8" s="39" t="n">
        <v>0</v>
      </c>
      <c r="J8" s="39" t="n">
        <v>0</v>
      </c>
      <c r="K8" s="31" t="inlineStr">
        <is>
          <t>§2 E-12</t>
        </is>
      </c>
      <c r="L8" s="31" t="inlineStr">
        <is>
          <t>2026-10-21: x86_64 + i386, min 10.7. Open: U-7 (10.6), U-9 (Apple Silicon)</t>
        </is>
      </c>
    </row>
    <row r="9" ht="35.05" customHeight="1" s="23">
      <c r="A9" s="31" t="inlineStr">
        <is>
          <t>BC-2.1</t>
        </is>
      </c>
      <c r="B9" s="31" t="inlineStr">
        <is>
          <t>2 Build system</t>
        </is>
      </c>
      <c r="C9" s="30" t="inlineStr">
        <is>
          <t>C</t>
        </is>
      </c>
      <c r="D9" s="31" t="inlineStr">
        <is>
          <t>Band-aware build files: kext/Makefile BAND=legacy|main|silicon (SDK, archs, min version, OA_BAND_* defines); helper universal; panel per slice</t>
        </is>
      </c>
      <c r="E9" s="31" t="inlineStr">
        <is>
          <t>make BAND=... produces each slice; the 0.2.2 Main build is byte-identical in behaviour (same flags)</t>
        </is>
      </c>
      <c r="F9" s="31" t="inlineStr">
        <is>
          <t>DEC-1, DEC-3, DEC-9</t>
        </is>
      </c>
      <c r="G9" s="38" t="inlineStr">
        <is>
          <t>Done (classic, modern; legacy not built)</t>
        </is>
      </c>
      <c r="H9" s="31" t="inlineStr">
        <is>
          <t>Claude</t>
        </is>
      </c>
      <c r="I9" s="39" t="n">
        <v>1</v>
      </c>
      <c r="J9" s="39" t="n">
        <v>1</v>
      </c>
      <c r="K9" s="31" t="inlineStr">
        <is>
          <t>§7 BC-2</t>
        </is>
      </c>
      <c r="L9" s="31" t="inlineStr">
        <is>
          <t>2026-10-21: kext/Makefile BAND=classic|modern (R125); panel Makefile BAND -&gt; Info.plist OAEdition, build/&lt;band&gt;/ (R127); legacy not built, no arm64e</t>
        </is>
      </c>
    </row>
    <row r="10" ht="35.05" customHeight="1" s="23">
      <c r="A10" s="31" t="inlineStr">
        <is>
          <t>BC-2.2</t>
        </is>
      </c>
      <c r="B10" s="31" t="inlineStr">
        <is>
          <t>2 Build system</t>
        </is>
      </c>
      <c r="C10" s="30" t="inlineStr">
        <is>
          <t>L</t>
        </is>
      </c>
      <c r="D10" s="31" t="inlineStr">
        <is>
          <t>Legacy toolchain probe (P-2): Xcode 9.4.1 clang/ld + MacOSX10.6.sdk (its i386 libkmod) for an i386 + x86_64 kext; fallback Xcode 4.6.3 on a 10.8 volume</t>
        </is>
      </c>
      <c r="E10" s="31" t="inlineStr">
        <is>
          <t>An i386 + x86_64 kext links; kextutil -n -t passes on 10.6.8</t>
        </is>
      </c>
      <c r="F10" s="31" t="inlineStr">
        <is>
          <t>DEC-1 = a; DEC-6</t>
        </is>
      </c>
      <c r="G10" s="38" t="inlineStr">
        <is>
          <t>Cancelled (scope, 2026-10-22: floor 10.9)</t>
        </is>
      </c>
      <c r="H10" s="31" t="inlineStr">
        <is>
          <t>Claude</t>
        </is>
      </c>
      <c r="I10" s="39" t="n">
        <v>0</v>
      </c>
      <c r="J10" s="39" t="n">
        <v>0</v>
      </c>
      <c r="K10" s="31" t="inlineStr">
        <is>
          <t>§7 BC-2</t>
        </is>
      </c>
      <c r="L10" s="31" t="n"/>
    </row>
    <row r="11" ht="23.85" customHeight="1" s="23">
      <c r="A11" s="31" t="inlineStr">
        <is>
          <t>BC-2.3</t>
        </is>
      </c>
      <c r="B11" s="31" t="inlineStr">
        <is>
          <t>2 Build system</t>
        </is>
      </c>
      <c r="C11" s="30" t="inlineStr">
        <is>
          <t>AS</t>
        </is>
      </c>
      <c r="D11" s="31" t="inlineStr">
        <is>
          <t>Silicon toolchain: arm64e kext + arm64 user space with the CLT 15.2 SDK (libkmod arm64e, E-13) or Xcode 12+ on another Mac</t>
        </is>
      </c>
      <c r="E11" s="31" t="inlineStr">
        <is>
          <t>An arm64e kext and arm64 helper/panel build</t>
        </is>
      </c>
      <c r="F11" s="31" t="inlineStr">
        <is>
          <t>DEC-3; DEC-10</t>
        </is>
      </c>
      <c r="G11" s="38" t="inlineStr">
        <is>
          <t>Waiting decision</t>
        </is>
      </c>
      <c r="H11" s="31" t="inlineStr">
        <is>
          <t>Claude</t>
        </is>
      </c>
      <c r="I11" s="39" t="n">
        <v>0.5</v>
      </c>
      <c r="J11" s="39" t="n">
        <v>1</v>
      </c>
      <c r="K11" s="31" t="inlineStr">
        <is>
          <t>§7 BC-2</t>
        </is>
      </c>
      <c r="L11" s="31" t="n"/>
    </row>
    <row r="12" ht="35.05" customHeight="1" s="23">
      <c r="A12" s="31" t="inlineStr">
        <is>
          <t>BC-2.4</t>
        </is>
      </c>
      <c r="B12" s="31" t="inlineStr">
        <is>
          <t>2 Build system</t>
        </is>
      </c>
      <c r="C12" s="30" t="inlineStr">
        <is>
          <t>C</t>
        </is>
      </c>
      <c r="D12" s="31" t="inlineStr">
        <is>
          <t>Merge and guards: lipo per component; per-slice LC_VERSION_MIN / LC_BUILD_VERSION guard; symbol-audit gate in the build; check-self-contained.sh for universal bundles</t>
        </is>
      </c>
      <c r="E12" s="31" t="inlineStr">
        <is>
          <t>A wrong-band symbol or slice fails the build</t>
        </is>
      </c>
      <c r="F12" s="31" t="inlineStr">
        <is>
          <t>BC-1.1, BC-2.1</t>
        </is>
      </c>
      <c r="G12" s="38" t="inlineStr">
        <is>
          <t>Waiting decision</t>
        </is>
      </c>
      <c r="H12" s="31" t="inlineStr">
        <is>
          <t>Claude</t>
        </is>
      </c>
      <c r="I12" s="39" t="n">
        <v>1</v>
      </c>
      <c r="J12" s="39" t="n">
        <v>1.5</v>
      </c>
      <c r="K12" s="31" t="inlineStr">
        <is>
          <t>§7 BC-2</t>
        </is>
      </c>
      <c r="L12" s="31" t="n"/>
    </row>
    <row r="13" ht="35.05" customHeight="1" s="23">
      <c r="A13" s="31" t="inlineStr">
        <is>
          <t>BC-3.1</t>
        </is>
      </c>
      <c r="B13" s="31" t="inlineStr">
        <is>
          <t>3 Kernel</t>
        </is>
      </c>
      <c r="C13" s="30" t="inlineStr">
        <is>
          <t>C</t>
        </is>
      </c>
      <c r="D13" s="31" t="inlineStr">
        <is>
          <t>One OS gate in base/ (version_major); re-label each 10.13-forced deviation (VerifyStreamFormats R68 and the others in CLAUDE.md) with the OS range that forces it</t>
        </is>
      </c>
      <c r="E13" s="31" t="inlineStr">
        <is>
          <t>Every deviation comment names its OS range; conformance check passes</t>
        </is>
      </c>
      <c r="F13" s="31" t="inlineStr">
        <is>
          <t>BC-2.1</t>
        </is>
      </c>
      <c r="G13" s="38" t="inlineStr">
        <is>
          <t>Waiting decision</t>
        </is>
      </c>
      <c r="H13" s="31" t="inlineStr">
        <is>
          <t>Claude</t>
        </is>
      </c>
      <c r="I13" s="39" t="n">
        <v>0.5</v>
      </c>
      <c r="J13" s="39" t="n">
        <v>1</v>
      </c>
      <c r="K13" s="31" t="inlineStr">
        <is>
          <t>§7 BC-3</t>
        </is>
      </c>
      <c r="L13" s="31" t="n"/>
    </row>
    <row r="14" ht="46.25" customHeight="1" s="23">
      <c r="A14" s="31" t="inlineStr">
        <is>
          <t>BC-3.2</t>
        </is>
      </c>
      <c r="B14" s="31" t="inlineStr">
        <is>
          <t>3 Kernel</t>
        </is>
      </c>
      <c r="C14" s="30" t="inlineStr">
        <is>
          <t>M</t>
        </is>
      </c>
      <c r="D14" s="31" t="inlineStr">
        <is>
          <t>Bind IOLockSleep/IOLockWakeup to the plain exported names (__asm label; 10.13.6 exports both, E-3) or use IOCommandGate::commandSleep; -D_FORTIFY_SOURCE=0 if U-5 fails</t>
        </is>
      </c>
      <c r="E14" s="31" t="inlineStr">
        <is>
          <t>nm -u of the Main build has no _darwin14 symbol; BC-1.1 clean for 10.9</t>
        </is>
      </c>
      <c r="F14" s="31" t="inlineStr">
        <is>
          <t>BC-1.1</t>
        </is>
      </c>
      <c r="G14" s="38" t="inlineStr">
        <is>
          <t>Not needed on 11-15; only for 10.9-10.12</t>
        </is>
      </c>
      <c r="H14" s="31" t="inlineStr">
        <is>
          <t>Claude</t>
        </is>
      </c>
      <c r="I14" s="39" t="n">
        <v>0.5</v>
      </c>
      <c r="J14" s="39" t="n">
        <v>0.5</v>
      </c>
      <c r="K14" s="31" t="inlineStr">
        <is>
          <t>§7 BC-3</t>
        </is>
      </c>
      <c r="L14" s="31" t="n"/>
    </row>
    <row r="15" ht="35.05" customHeight="1" s="23">
      <c r="A15" s="31" t="inlineStr">
        <is>
          <t>BC-3.3</t>
        </is>
      </c>
      <c r="B15" s="31" t="inlineStr">
        <is>
          <t>3 Kernel</t>
        </is>
      </c>
      <c r="C15" s="30" t="inlineStr">
        <is>
          <t>M</t>
        </is>
      </c>
      <c r="D15" s="31" t="inlineStr">
        <is>
          <t>Reserved IOAudioEngine slots 15/16 on 11-15 (E-4, U-11): confirm kmutil patches them; otherwise build an 11+ x86_64 slice with a new SDK (third bundle)</t>
        </is>
      </c>
      <c r="E15" s="31" t="inlineStr">
        <is>
          <t>kextutil -n -t + a load on one Intel 11+ Mac, or the third bundle exists</t>
        </is>
      </c>
      <c r="F15" s="31" t="inlineStr">
        <is>
          <t>BC-6.1</t>
        </is>
      </c>
      <c r="G15" s="38" t="inlineStr">
        <is>
          <t>Done (2026-10-21): 15.x SDK build loads on 14.8.9 (R126)</t>
        </is>
      </c>
      <c r="H15" s="31" t="inlineStr">
        <is>
          <t>Claude</t>
        </is>
      </c>
      <c r="I15" s="39" t="n">
        <v>0.5</v>
      </c>
      <c r="J15" s="39" t="n">
        <v>1</v>
      </c>
      <c r="K15" s="31" t="inlineStr">
        <is>
          <t>§7 BC-3</t>
        </is>
      </c>
      <c r="L15" s="31" t="inlineStr">
        <is>
          <t>The Modern band is built with the 15.x SDK (BAND=modern): 778/778 resolve (E-17) and it loads (E-18). No kmutil patching needed; the Modern edition is the separate 11+ build</t>
        </is>
      </c>
    </row>
    <row r="16" ht="35.05" customHeight="1" s="23">
      <c r="A16" s="31" t="inlineStr">
        <is>
          <t>BC-3.4</t>
        </is>
      </c>
      <c r="B16" s="31" t="inlineStr">
        <is>
          <t>3 Kernel</t>
        </is>
      </c>
      <c r="C16" s="30" t="inlineStr">
        <is>
          <t>L</t>
        </is>
      </c>
      <c r="D16" s="31" t="inlineStr">
        <is>
          <t>Legacy build: fix what BC-1.5 / BC-1.3 found; Info.plist with KPI library names (per-arch keys only if needed, reference pattern OSBundleLibraries_x86_64)</t>
        </is>
      </c>
      <c r="E16" s="31" t="inlineStr">
        <is>
          <t>Legacy kext links for i386 + x86_64; BC-1.1 clean for 10.6.8</t>
        </is>
      </c>
      <c r="F16" s="31" t="inlineStr">
        <is>
          <t>BC-2.2, BC-1.3, BC-1.5</t>
        </is>
      </c>
      <c r="G16" s="38" t="inlineStr">
        <is>
          <t>Cancelled (scope, 2026-10-22: floor 10.9)</t>
        </is>
      </c>
      <c r="H16" s="31" t="inlineStr">
        <is>
          <t>Claude</t>
        </is>
      </c>
      <c r="I16" s="39" t="n">
        <v>0</v>
      </c>
      <c r="J16" s="39" t="n">
        <v>0</v>
      </c>
      <c r="K16" s="31" t="inlineStr">
        <is>
          <t>§7 BC-3</t>
        </is>
      </c>
      <c r="L16" s="31" t="n"/>
    </row>
    <row r="17" ht="46.25" customHeight="1" s="23">
      <c r="A17" s="31" t="inlineStr">
        <is>
          <t>BC-3.5</t>
        </is>
      </c>
      <c r="B17" s="31" t="inlineStr">
        <is>
          <t>3 Kernel</t>
        </is>
      </c>
      <c r="C17" s="30" t="inlineStr">
        <is>
          <t>AS</t>
        </is>
      </c>
      <c r="D17" s="31" t="inlineStr">
        <is>
          <t>Silicon build: implement driverDesiresHiResSampleIntervals (+ useHiResSampleInterval / calculateSampleTimeoutHiRes as documented) and the BC-1.4 fixes; comments say 'forced by the arm64 IOAudioEngine header'</t>
        </is>
      </c>
      <c r="E17" s="31" t="inlineStr">
        <is>
          <t>arm64e kext links; BC-1.1 clean against an arm64e KDK</t>
        </is>
      </c>
      <c r="F17" s="31" t="inlineStr">
        <is>
          <t>BC-1.4, BC-2.3</t>
        </is>
      </c>
      <c r="G17" s="38" t="inlineStr">
        <is>
          <t>Waiting decision</t>
        </is>
      </c>
      <c r="H17" s="31" t="inlineStr">
        <is>
          <t>Claude</t>
        </is>
      </c>
      <c r="I17" s="39" t="n">
        <v>2</v>
      </c>
      <c r="J17" s="39" t="n">
        <v>4</v>
      </c>
      <c r="K17" s="31" t="inlineStr">
        <is>
          <t>§7 BC-3</t>
        </is>
      </c>
      <c r="L17" s="31" t="n"/>
    </row>
    <row r="18" ht="23.85" customHeight="1" s="23">
      <c r="A18" s="31" t="inlineStr">
        <is>
          <t>BC-3.6</t>
        </is>
      </c>
      <c r="B18" s="31" t="inlineStr">
        <is>
          <t>3 Kernel</t>
        </is>
      </c>
      <c r="C18" s="30" t="inlineStr">
        <is>
          <t>C</t>
        </is>
      </c>
      <c r="D18" s="31" t="inlineStr">
        <is>
          <t>Bundle layout per band: same bundle id and personalities; Main file = x86_64 + arm64e</t>
        </is>
      </c>
      <c r="E18" s="31" t="inlineStr">
        <is>
          <t>Both bundles pass plutil and kextutil -n -t on a host of their band</t>
        </is>
      </c>
      <c r="F18" s="31" t="inlineStr">
        <is>
          <t>BC-3.2, BC-3.4, BC-3.5</t>
        </is>
      </c>
      <c r="G18" s="38" t="inlineStr">
        <is>
          <t>Not needed (two kext builds, DEC-5 = b)</t>
        </is>
      </c>
      <c r="H18" s="31" t="inlineStr">
        <is>
          <t>Claude</t>
        </is>
      </c>
      <c r="I18" s="39" t="n">
        <v>0.5</v>
      </c>
      <c r="J18" s="39" t="n">
        <v>0.5</v>
      </c>
      <c r="K18" s="31" t="inlineStr">
        <is>
          <t>§7 BC-3</t>
        </is>
      </c>
      <c r="L18" s="31" t="n"/>
    </row>
    <row r="19" ht="23.85" customHeight="1" s="23">
      <c r="A19" s="31" t="inlineStr">
        <is>
          <t>BC-4.1</t>
        </is>
      </c>
      <c r="B19" s="31" t="inlineStr">
        <is>
          <t>4 User space</t>
        </is>
      </c>
      <c r="C19" s="30" t="inlineStr">
        <is>
          <t>C</t>
        </is>
      </c>
      <c r="D19" s="31" t="inlineStr">
        <is>
          <t>Helper universal: i386 + x86_64 (Xcode 9.4.1, min 10.6) + arm64 (min 11), lipo; no API change (E-14)</t>
        </is>
      </c>
      <c r="E19" s="31" t="inlineStr">
        <is>
          <t>lipo -archs shows the slices; each slice's min version matches its band</t>
        </is>
      </c>
      <c r="F19" s="31" t="inlineStr">
        <is>
          <t>BC-2.1</t>
        </is>
      </c>
      <c r="G19" s="38" t="inlineStr">
        <is>
          <t>Waiting decision</t>
        </is>
      </c>
      <c r="H19" s="31" t="inlineStr">
        <is>
          <t>Claude</t>
        </is>
      </c>
      <c r="I19" s="39" t="n">
        <v>0.5</v>
      </c>
      <c r="J19" s="39" t="n">
        <v>0.5</v>
      </c>
      <c r="K19" s="31" t="inlineStr">
        <is>
          <t>§7 BC-4</t>
        </is>
      </c>
      <c r="L19" s="31" t="n"/>
    </row>
    <row r="20" ht="23.85" customHeight="1" s="23">
      <c r="A20" s="31" t="inlineStr">
        <is>
          <t>BC-4.2</t>
        </is>
      </c>
      <c r="B20" s="31" t="inlineStr">
        <is>
          <t>4 User space</t>
        </is>
      </c>
      <c r="C20" s="30" t="inlineStr">
        <is>
          <t>M</t>
        </is>
      </c>
      <c r="D20" s="31" t="inlineStr">
        <is>
          <t>Swift panel to 10.9: #available fallbacks for the 5 APIs (E-11), deployment target 10.9; Uninstaller likewise</t>
        </is>
      </c>
      <c r="E20" s="31" t="inlineStr">
        <is>
          <t>Typecheck at -target x86_64-apple-macosx10.9; --demo --snapshot PNGs unchanged on 10.13</t>
        </is>
      </c>
      <c r="F20" s="31" t="inlineStr">
        <is>
          <t>BC-2.1</t>
        </is>
      </c>
      <c r="G20" s="38" t="inlineStr">
        <is>
          <t>Not needed on 11-15 (panel runs on 14.8.9); only for 10.9-10.12</t>
        </is>
      </c>
      <c r="H20" s="31" t="inlineStr">
        <is>
          <t>Claude</t>
        </is>
      </c>
      <c r="I20" s="39" t="n">
        <v>1</v>
      </c>
      <c r="J20" s="39" t="n">
        <v>2</v>
      </c>
      <c r="K20" s="31" t="inlineStr">
        <is>
          <t>§7 BC-4</t>
        </is>
      </c>
      <c r="L20" s="31" t="n"/>
    </row>
    <row r="21" ht="35.05" customHeight="1" s="23">
      <c r="A21" s="31" t="inlineStr">
        <is>
          <t>BC-4.3</t>
        </is>
      </c>
      <c r="B21" s="31" t="inlineStr">
        <is>
          <t>4 User space</t>
        </is>
      </c>
      <c r="C21" s="30" t="inlineStr">
        <is>
          <t>AS</t>
        </is>
      </c>
      <c r="D21" s="31" t="inlineStr">
        <is>
          <t>Panel and Uninstaller arm64 slice: same sources with a Swift 5 compiler (-swift-version 4.2 if needed), lipo with the Swift 4.1 x86_64 slice; bundle-swift-runtime.sh universal-aware</t>
        </is>
      </c>
      <c r="E21" s="31" t="inlineStr">
        <is>
          <t>Universal app passes check-self-contained; --demo --snapshot on arm64 and x86_64</t>
        </is>
      </c>
      <c r="F21" s="31" t="inlineStr">
        <is>
          <t>BC-2.3, BC-4.2</t>
        </is>
      </c>
      <c r="G21" s="38" t="inlineStr">
        <is>
          <t>Waiting decision</t>
        </is>
      </c>
      <c r="H21" s="31" t="inlineStr">
        <is>
          <t>Claude</t>
        </is>
      </c>
      <c r="I21" s="39" t="n">
        <v>0.5</v>
      </c>
      <c r="J21" s="39" t="n">
        <v>1</v>
      </c>
      <c r="K21" s="31" t="inlineStr">
        <is>
          <t>§7 BC-4</t>
        </is>
      </c>
      <c r="L21" s="31" t="n"/>
    </row>
    <row r="22" ht="35.05" customHeight="1" s="23">
      <c r="A22" s="31" t="inlineStr">
        <is>
          <t>BC-4.4</t>
        </is>
      </c>
      <c r="B22" s="31" t="inlineStr">
        <is>
          <t>4 User space</t>
        </is>
      </c>
      <c r="C22" s="30" t="inlineStr">
        <is>
          <t>L</t>
        </is>
      </c>
      <c r="D22" s="31" t="inlineStr">
        <is>
          <t>Panel port to Objective-C (DEC-4 a), file by file, host tests ported; replaces the Swift panel everywhere (one universal binary, no Swift runtime)</t>
        </is>
      </c>
      <c r="E22" s="31" t="inlineStr">
        <is>
          <t>Demo snapshots match the Swift panel's on 10.13; app launches on 10.6.8</t>
        </is>
      </c>
      <c r="F22" s="31" t="inlineStr">
        <is>
          <t>DEC-4 = a</t>
        </is>
      </c>
      <c r="G22" s="38" t="inlineStr">
        <is>
          <t>Cancelled (scope, 2026-10-22: floor 10.9)</t>
        </is>
      </c>
      <c r="H22" s="31" t="inlineStr">
        <is>
          <t>Claude</t>
        </is>
      </c>
      <c r="I22" s="39" t="n">
        <v>0</v>
      </c>
      <c r="J22" s="39" t="n">
        <v>0</v>
      </c>
      <c r="K22" s="31" t="inlineStr">
        <is>
          <t>§7 BC-4</t>
        </is>
      </c>
      <c r="L22" s="31" t="inlineStr">
        <is>
          <t>Largest single item: 5,925 Swift lines (E-16)</t>
        </is>
      </c>
    </row>
    <row r="23" ht="15" customHeight="1" s="23">
      <c r="A23" s="31" t="inlineStr">
        <is>
          <t>BC-4.5</t>
        </is>
      </c>
      <c r="B23" s="31" t="inlineStr">
        <is>
          <t>4 User space</t>
        </is>
      </c>
      <c r="C23" s="30" t="inlineStr">
        <is>
          <t>L</t>
        </is>
      </c>
      <c r="D23" s="31" t="inlineStr">
        <is>
          <t>Uninstaller for 10.6-10.8 (Obj-C with BC-4.4, or an AppleScript applet)</t>
        </is>
      </c>
      <c r="E23" s="31" t="inlineStr">
        <is>
          <t>Runs on 10.6.8 and removes every listed path</t>
        </is>
      </c>
      <c r="F23" s="31" t="inlineStr">
        <is>
          <t>BC-5.3</t>
        </is>
      </c>
      <c r="G23" s="38" t="inlineStr">
        <is>
          <t>Cancelled (scope, 2026-10-22: floor 10.9)</t>
        </is>
      </c>
      <c r="H23" s="31" t="inlineStr">
        <is>
          <t>Claude</t>
        </is>
      </c>
      <c r="I23" s="39" t="n">
        <v>0</v>
      </c>
      <c r="J23" s="39" t="n">
        <v>0</v>
      </c>
      <c r="K23" s="31" t="inlineStr">
        <is>
          <t>§7 BC-4</t>
        </is>
      </c>
      <c r="L23" s="31" t="n"/>
    </row>
    <row r="24" ht="23.85" customHeight="1" s="23">
      <c r="A24" s="31" t="inlineStr">
        <is>
          <t>BC-4.6</t>
        </is>
      </c>
      <c r="B24" s="31" t="inlineStr">
        <is>
          <t>4 User space</t>
        </is>
      </c>
      <c r="C24" s="30" t="inlineStr">
        <is>
          <t>AS</t>
        </is>
      </c>
      <c r="D24" s="31" t="inlineStr">
        <is>
          <t>MIDI clone plug-in mirroring the M-Audio plug-in (A3 decompiles, user-client selectors 500-507), universal</t>
        </is>
      </c>
      <c r="E24" s="31" t="inlineStr">
        <is>
          <t>MIDI in/out through the clone on one Intel Mac matches the original (midiprobe)</t>
        </is>
      </c>
      <c r="F24" s="31" t="inlineStr">
        <is>
          <t>DEC-8</t>
        </is>
      </c>
      <c r="G24" s="38" t="inlineStr">
        <is>
          <t>Waiting decision</t>
        </is>
      </c>
      <c r="H24" s="31" t="inlineStr">
        <is>
          <t>Claude</t>
        </is>
      </c>
      <c r="I24" s="39" t="n">
        <v>4</v>
      </c>
      <c r="J24" s="39" t="n">
        <v>8</v>
      </c>
      <c r="K24" s="31" t="inlineStr">
        <is>
          <t>§7 BC-4</t>
        </is>
      </c>
      <c r="L24" s="31" t="n"/>
    </row>
    <row r="25" ht="23.85" customHeight="1" s="23">
      <c r="A25" s="31" t="inlineStr">
        <is>
          <t>BC-4.7</t>
        </is>
      </c>
      <c r="B25" s="31" t="inlineStr">
        <is>
          <t>4 User space</t>
        </is>
      </c>
      <c r="C25" s="30" t="inlineStr">
        <is>
          <t>L</t>
        </is>
      </c>
      <c r="D25" s="31" t="inlineStr">
        <is>
          <t>MIDI on 10.6: check the 1.11.2 plug-in's imports against the 10.6.8 frameworks (U-7); otherwise ship the clone there</t>
        </is>
      </c>
      <c r="E25" s="31" t="inlineStr">
        <is>
          <t>U-7 closed</t>
        </is>
      </c>
      <c r="F25" s="31" t="inlineStr">
        <is>
          <t>BC-1.1</t>
        </is>
      </c>
      <c r="G25" s="38" t="inlineStr">
        <is>
          <t>Cancelled (scope, 2026-10-22: floor 10.9)</t>
        </is>
      </c>
      <c r="H25" s="31" t="inlineStr">
        <is>
          <t>Claude</t>
        </is>
      </c>
      <c r="I25" s="39" t="n">
        <v>0</v>
      </c>
      <c r="J25" s="39" t="n">
        <v>0</v>
      </c>
      <c r="K25" s="31" t="inlineStr">
        <is>
          <t>§7 BC-4</t>
        </is>
      </c>
      <c r="L25" s="31" t="n"/>
    </row>
    <row r="26" ht="35.05" customHeight="1" s="23">
      <c r="A26" s="31" t="inlineStr">
        <is>
          <t>BC-5.1</t>
        </is>
      </c>
      <c r="B26" s="31" t="inlineStr">
        <is>
          <t>5 Installer</t>
        </is>
      </c>
      <c r="C26" s="30" t="inlineStr">
        <is>
          <t>C</t>
        </is>
      </c>
      <c r="D26" s="31" t="inlineStr">
        <is>
          <t>distribution.xml: min 10.6.8 (or the DEC-1 floor), hostArchitectures i386,x86_64,arm64, OS-conditional choices for the kext bundle/location and MIDI plug-in</t>
        </is>
      </c>
      <c r="E26" s="31" t="inlineStr">
        <is>
          <t>pkgutil --payload-files per choice; Installer picks the right bundle on each band</t>
        </is>
      </c>
      <c r="F26" s="31" t="inlineStr">
        <is>
          <t>DEC-1, DEC-5</t>
        </is>
      </c>
      <c r="G26" s="38" t="inlineStr">
        <is>
          <t>Done for Classic + Modern (per-edition distribution.xml, R128)</t>
        </is>
      </c>
      <c r="H26" s="31" t="inlineStr">
        <is>
          <t>Claude</t>
        </is>
      </c>
      <c r="I26" s="39" t="n">
        <v>0.5</v>
      </c>
      <c r="J26" s="39" t="n">
        <v>1</v>
      </c>
      <c r="K26" s="31" t="inlineStr">
        <is>
          <t>§7 BC-5</t>
        </is>
      </c>
      <c r="L26" s="31" t="inlineStr">
        <is>
          <t>2026-10-21 (R128): one package per edition instead of OS-conditional choices (DEC-5 b): Classic min 10.13 before 11.0, Modern min 11.0 before 16.0; checked with installer -volinfo on 14.8.9 and 10.13.6</t>
        </is>
      </c>
    </row>
    <row r="27" ht="35.05" customHeight="1" s="23">
      <c r="A27" s="31" t="inlineStr">
        <is>
          <t>BC-5.2</t>
        </is>
      </c>
      <c r="B27" s="31" t="inlineStr">
        <is>
          <t>5 Installer</t>
        </is>
      </c>
      <c r="C27" s="30" t="inlineStr">
        <is>
          <t>C</t>
        </is>
      </c>
      <c r="D27" s="31" t="inlineStr">
        <is>
          <t>postinstall per band: caches (touch /S/L/E + kextcache on L; -system-caches on M; kmutil flow + approval/restart message on M11/AS); keep the kextutil -t -n gate; MIDIServer restart</t>
        </is>
      </c>
      <c r="E27" s="31" t="inlineStr">
        <is>
          <t>Script review per band; the gate runs on all bands</t>
        </is>
      </c>
      <c r="F27" s="31" t="inlineStr">
        <is>
          <t>BC-5.1</t>
        </is>
      </c>
      <c r="G27" s="38" t="inlineStr">
        <is>
          <t>Done for Classic + Modern (R128); Modern uninstall unverified</t>
        </is>
      </c>
      <c r="H27" s="31" t="inlineStr">
        <is>
          <t>Claude</t>
        </is>
      </c>
      <c r="I27" s="39" t="n">
        <v>1</v>
      </c>
      <c r="J27" s="39" t="n">
        <v>1.5</v>
      </c>
      <c r="K27" s="31" t="inlineStr">
        <is>
          <t>§7 BC-5</t>
        </is>
      </c>
      <c r="L27" s="31" t="inlineStr">
        <is>
          <t>2026-10-21 (R128): postinstall-modern = kmutil import gate (shipped imports.txt) + kmutil load -p + helper + agent + MIDIServer; Classic postinstall unchanged; Legacy not done</t>
        </is>
      </c>
    </row>
    <row r="28" ht="35.05" customHeight="1" s="23">
      <c r="A28" s="31" t="inlineStr">
        <is>
          <t>BC-5.3</t>
        </is>
      </c>
      <c r="B28" s="31" t="inlineStr">
        <is>
          <t>5 Installer</t>
        </is>
      </c>
      <c r="C28" s="30" t="inlineStr">
        <is>
          <t>C</t>
        </is>
      </c>
      <c r="D28" s="31" t="inlineStr">
        <is>
          <t>uninstall.sh: add /System/Library/Extensions/OpenAudioBeBoBMAFW.kext and every new path (all-paths-ever rule kept)</t>
        </is>
      </c>
      <c r="E28" s="31" t="inlineStr">
        <is>
          <t>Dry-run listing covers every payload path of every band</t>
        </is>
      </c>
      <c r="F28" s="31" t="inlineStr">
        <is>
          <t>BC-5.1</t>
        </is>
      </c>
      <c r="G28" s="38" t="inlineStr">
        <is>
          <t>Done for Classic + Modern (kmutil rebuild branch, unverified)</t>
        </is>
      </c>
      <c r="H28" s="31" t="inlineStr">
        <is>
          <t>Claude</t>
        </is>
      </c>
      <c r="I28" s="39" t="n">
        <v>0.5</v>
      </c>
      <c r="J28" s="39" t="n">
        <v>0.5</v>
      </c>
      <c r="K28" s="31" t="inlineStr">
        <is>
          <t>§7 BC-5</t>
        </is>
      </c>
      <c r="L28" s="31" t="inlineStr">
        <is>
          <t>2026-10-21 (R128): uninstall.sh runs kmutil rebuild on 11+ (unverified), kextcache on 10.x</t>
        </is>
      </c>
    </row>
    <row r="29" ht="35.05" customHeight="1" s="23">
      <c r="A29" s="31" t="inlineStr">
        <is>
          <t>BC-5.4</t>
        </is>
      </c>
      <c r="B29" s="31" t="inlineStr">
        <is>
          <t>5 Installer</t>
        </is>
      </c>
      <c r="C29" s="30" t="inlineStr">
        <is>
          <t>C</t>
        </is>
      </c>
      <c r="D29" s="31" t="inlineStr">
        <is>
          <t>Installer pages + README: per-band prerequisites (10.10 boot-arg, 10.11+ SIP, 11+ approval, Apple Silicon Permissive Security) - documentation only</t>
        </is>
      </c>
      <c r="E29" s="31" t="inlineStr">
        <is>
          <t>Text reviewed by the user</t>
        </is>
      </c>
      <c r="F29" s="31" t="inlineStr">
        <is>
          <t>BC-1.2</t>
        </is>
      </c>
      <c r="G29" s="38" t="inlineStr">
        <is>
          <t>Done for Classic + Modern (Requirements tables, R128)</t>
        </is>
      </c>
      <c r="H29" s="31" t="inlineStr">
        <is>
          <t>Claude</t>
        </is>
      </c>
      <c r="I29" s="39" t="n">
        <v>0.5</v>
      </c>
      <c r="J29" s="39" t="n">
        <v>0.5</v>
      </c>
      <c r="K29" s="31" t="inlineStr">
        <is>
          <t>§7 BC-5</t>
        </is>
      </c>
      <c r="L29" s="31" t="inlineStr">
        <is>
          <t>2026-10-21 (R128): Requirements per edition on the installer pages and dmg backgrounds; README pending</t>
        </is>
      </c>
    </row>
    <row r="30" ht="23.85" customHeight="1" s="23">
      <c r="A30" s="31" t="inlineStr">
        <is>
          <t>BC-6.1</t>
        </is>
      </c>
      <c r="B30" s="31" t="inlineStr">
        <is>
          <t>6 On-device (on request)</t>
        </is>
      </c>
      <c r="C30" s="30" t="inlineStr">
        <is>
          <t>M</t>
        </is>
      </c>
      <c r="D30" s="31" t="inlineStr">
        <is>
          <t>P-1: Main kext on one Intel 11-15 Mac (kextutil -n -t, load, CoreAudio, play/record, panel); also U-8, U-11, U-12 with the Legacy build</t>
        </is>
      </c>
      <c r="E30" s="31" t="inlineStr">
        <is>
          <t>Results recorded in a dated run log</t>
        </is>
      </c>
      <c r="F30" s="31" t="inlineStr">
        <is>
          <t>DEC-7; user request</t>
        </is>
      </c>
      <c r="G30" s="38" t="inlineStr">
        <is>
          <t>Partly done (Audiophile plays on 14.8.9; FW1814, record, MIDI, rates open)</t>
        </is>
      </c>
      <c r="H30" s="31" t="inlineStr">
        <is>
          <t>User + Claude</t>
        </is>
      </c>
      <c r="I30" s="39" t="n">
        <v>1</v>
      </c>
      <c r="J30" s="39" t="n">
        <v>1</v>
      </c>
      <c r="K30" s="31" t="inlineStr">
        <is>
          <t>§7 BC-6, §8</t>
        </is>
      </c>
      <c r="L30" s="31" t="inlineStr">
        <is>
          <t>A panic reboots the host | 2026-10-21 (R126): load + play on 14.8.9 Intel with the FW Audiophile (E-18); one dropout in real use (adapter controller left PCI, cause open). Open: record/RX, panel controls (U-8), MIDI, rates, FW1814, unload, sleep</t>
        </is>
      </c>
    </row>
    <row r="31" ht="23.85" customHeight="1" s="23">
      <c r="A31" s="31" t="inlineStr">
        <is>
          <t>BC-6.2</t>
        </is>
      </c>
      <c r="B31" s="31" t="inlineStr">
        <is>
          <t>6 On-device (on request)</t>
        </is>
      </c>
      <c r="C31" s="30" t="inlineStr">
        <is>
          <t>M</t>
        </is>
      </c>
      <c r="D31" s="31" t="inlineStr">
        <is>
          <t>Main kext on one of 10.9-10.12</t>
        </is>
      </c>
      <c r="E31" s="31" t="inlineStr">
        <is>
          <t>Dated run log</t>
        </is>
      </c>
      <c r="F31" s="31" t="inlineStr">
        <is>
          <t>DEC-7; user request</t>
        </is>
      </c>
      <c r="G31" s="38" t="inlineStr">
        <is>
          <t>On request</t>
        </is>
      </c>
      <c r="H31" s="31" t="inlineStr">
        <is>
          <t>User + Claude</t>
        </is>
      </c>
      <c r="I31" s="39" t="n">
        <v>1</v>
      </c>
      <c r="J31" s="39" t="n">
        <v>1</v>
      </c>
      <c r="K31" s="31" t="inlineStr">
        <is>
          <t>§7 BC-6</t>
        </is>
      </c>
      <c r="L31" s="31" t="n"/>
    </row>
    <row r="32" ht="23.85" customHeight="1" s="23">
      <c r="A32" s="31" t="inlineStr">
        <is>
          <t>BC-6.3</t>
        </is>
      </c>
      <c r="B32" s="31" t="inlineStr">
        <is>
          <t>6 On-device (on request)</t>
        </is>
      </c>
      <c r="C32" s="30" t="inlineStr">
        <is>
          <t>L</t>
        </is>
      </c>
      <c r="D32" s="31" t="inlineStr">
        <is>
          <t>Legacy kext on 10.6.8, K32 and K64, on a volume other than the SL rig's reference install</t>
        </is>
      </c>
      <c r="E32" s="31" t="inlineStr">
        <is>
          <t>Dated run log</t>
        </is>
      </c>
      <c r="F32" s="31" t="inlineStr">
        <is>
          <t>DEC-7; user request</t>
        </is>
      </c>
      <c r="G32" s="38" t="inlineStr">
        <is>
          <t>Cancelled (scope, 2026-10-22: floor 10.9)</t>
        </is>
      </c>
      <c r="H32" s="31" t="inlineStr">
        <is>
          <t>User + Claude</t>
        </is>
      </c>
      <c r="I32" s="39" t="n">
        <v>0</v>
      </c>
      <c r="J32" s="39" t="n">
        <v>0</v>
      </c>
      <c r="K32" s="31" t="inlineStr">
        <is>
          <t>§7 BC-6</t>
        </is>
      </c>
      <c r="L32" s="31" t="n"/>
    </row>
    <row r="33" ht="23.85" customHeight="1" s="23">
      <c r="A33" s="31" t="inlineStr">
        <is>
          <t>BC-6.4</t>
        </is>
      </c>
      <c r="B33" s="31" t="inlineStr">
        <is>
          <t>6 On-device (on request)</t>
        </is>
      </c>
      <c r="C33" s="30" t="inlineStr">
        <is>
          <t>AS</t>
        </is>
      </c>
      <c r="D33" s="31" t="inlineStr">
        <is>
          <t>Apple Silicon with the TB3-&gt;TB2 and TB-&gt;FW800 adapters (U-10, U-14)</t>
        </is>
      </c>
      <c r="E33" s="31" t="inlineStr">
        <is>
          <t>Dated run log</t>
        </is>
      </c>
      <c r="F33" s="31" t="inlineStr">
        <is>
          <t>DEC-3, DEC-7; hardware</t>
        </is>
      </c>
      <c r="G33" s="38" t="inlineStr">
        <is>
          <t>Blocked (hardware)</t>
        </is>
      </c>
      <c r="H33" s="31" t="inlineStr">
        <is>
          <t>User + Claude</t>
        </is>
      </c>
      <c r="I33" s="39" t="n">
        <v>1</v>
      </c>
      <c r="J33" s="39" t="n">
        <v>2</v>
      </c>
      <c r="K33" s="31" t="inlineStr">
        <is>
          <t>§7 BC-6</t>
        </is>
      </c>
      <c r="L33" s="31" t="inlineStr">
        <is>
          <t>No Apple Silicon Mac in the inventory</t>
        </is>
      </c>
    </row>
    <row r="34" ht="35.05" customHeight="1" s="23">
      <c r="A34" s="31" t="inlineStr">
        <is>
          <t>BC-7.1</t>
        </is>
      </c>
      <c r="B34" s="31" t="inlineStr">
        <is>
          <t>7 Release</t>
        </is>
      </c>
      <c r="C34" s="30" t="inlineStr">
        <is>
          <t>C</t>
        </is>
      </c>
      <c r="D34" s="31" t="inlineStr">
        <is>
          <t>README compatibility table (verified / untested per band), NOTICE, CHANGELOG, VERSION (0.3.0 proposed), docs/ARCHITECTURE_MAFW_v2.md, /close-item</t>
        </is>
      </c>
      <c r="E34" s="31" t="inlineStr">
        <is>
          <t>README states each band's status honestly</t>
        </is>
      </c>
      <c r="F34" s="31" t="inlineStr">
        <is>
          <t>all of the chosen scenario</t>
        </is>
      </c>
      <c r="G34" s="38" t="inlineStr">
        <is>
          <t>Waiting decision</t>
        </is>
      </c>
      <c r="H34" s="31" t="inlineStr">
        <is>
          <t>Claude</t>
        </is>
      </c>
      <c r="I34" s="39" t="n">
        <v>1</v>
      </c>
      <c r="J34" s="39" t="n">
        <v>1</v>
      </c>
      <c r="K34" s="31" t="inlineStr">
        <is>
          <t>§7 BC-7</t>
        </is>
      </c>
      <c r="L34" s="31" t="n"/>
    </row>
  </sheetData>
  <autoFilter ref="A1:L34"/>
  <conditionalFormatting sqref="G2:G200">
    <cfRule type="expression" rank="0" priority="2" equalAverage="0" aboveAverage="0" dxfId="8" text="" percent="0" bottom="0">
      <formula>LEFT($G2,4)="Done"</formula>
    </cfRule>
    <cfRule type="expression" rank="0" priority="3" equalAverage="0" aboveAverage="0" dxfId="9" text="" percent="0" bottom="0">
      <formula>$G2="Partly done"</formula>
    </cfRule>
    <cfRule type="expression" rank="0" priority="4" equalAverage="0" aboveAverage="0" dxfId="10" text="" percent="0" bottom="0">
      <formula>$G2="Waiting decision"</formula>
    </cfRule>
    <cfRule type="expression" rank="0" priority="5" equalAverage="0" aboveAverage="0" dxfId="11" text="" percent="0" bottom="0">
      <formula>$G2="Blocked (hardware)"</formula>
    </cfRule>
  </conditionalFormatting>
  <dataValidations count="2">
    <dataValidation sqref="G2:G200" showDropDown="0" showInputMessage="0" showErrorMessage="0" allowBlank="1" type="list" errorStyle="stop" operator="between">
      <formula1>"Not started,Waiting decision,In progress,Partly done,Done,Done (static),On request,Blocked (hardware),Dropped"</formula1>
      <formula2>0</formula2>
    </dataValidation>
    <dataValidation sqref="C2:C200" showDropDown="0" showInputMessage="0" showErrorMessage="0" allowBlank="0" type="list" errorStyle="stop" operator="between">
      <formula1>"C,M,AS,L"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22" min="1" max="1"/>
    <col width="34" customWidth="1" style="22" min="2" max="2"/>
    <col width="46" customWidth="1" style="22" min="3" max="3"/>
    <col width="22" customWidth="1" style="22" min="4" max="4"/>
    <col width="50" customWidth="1" style="22" min="5" max="5"/>
    <col width="30" customWidth="1" style="22" min="6" max="6"/>
    <col width="10" customWidth="1" style="22" min="7" max="7"/>
    <col width="34" customWidth="1" style="22" min="8" max="8"/>
  </cols>
  <sheetData>
    <row r="1" ht="15" customHeight="1" s="23">
      <c r="A1" s="29" t="inlineStr">
        <is>
          <t>ID</t>
        </is>
      </c>
      <c r="B1" s="29" t="inlineStr">
        <is>
          <t>Question</t>
        </is>
      </c>
      <c r="C1" s="29" t="inlineStr">
        <is>
          <t>Options</t>
        </is>
      </c>
      <c r="D1" s="29" t="inlineStr">
        <is>
          <t>Recommendation</t>
        </is>
      </c>
      <c r="E1" s="29" t="inlineStr">
        <is>
          <t>Why / consequence</t>
        </is>
      </c>
      <c r="F1" s="29" t="inlineStr">
        <is>
          <t>Gates</t>
        </is>
      </c>
      <c r="G1" s="29" t="inlineStr">
        <is>
          <t>Status</t>
        </is>
      </c>
      <c r="H1" s="29" t="inlineStr">
        <is>
          <t>Answer (user, with date)</t>
        </is>
      </c>
    </row>
    <row r="2" ht="35.05" customHeight="1" s="23">
      <c r="A2" s="31" t="inlineStr">
        <is>
          <t>DEC-1</t>
        </is>
      </c>
      <c r="B2" s="31" t="inlineStr">
        <is>
          <t>Lowest OS to support</t>
        </is>
      </c>
      <c r="C2" s="31" t="inlineStr">
        <is>
          <t>a) 10.6.8 (as asked; adds band L)
b) 10.9 (no old toolchain; Swift panel kept)
c) keep 10.13, extend upward only</t>
        </is>
      </c>
      <c r="D2" s="31" t="inlineStr">
        <is>
          <t>b now; a later if wanted</t>
        </is>
      </c>
      <c r="E2" s="31" t="inlineStr">
        <is>
          <t>Band L costs 11.5-21.5 sessions, mostly the panel port; official M-Audio drivers already run 10.6.8 (v1.9, SL rig) and, per B3, up to 10.11</t>
        </is>
      </c>
      <c r="F2" s="31" t="inlineStr">
        <is>
          <t>BC-1.3, BC-2.2, BC-3.4, BC-4.4/4.5/4.7, BC-5.1, BC-6.3</t>
        </is>
      </c>
      <c r="G2" s="38" t="inlineStr">
        <is>
          <t>Answered</t>
        </is>
      </c>
      <c r="H2" s="40" t="inlineStr">
        <is>
          <t>b) lowest OS 10.9 (user, 2026-10-22: "the older ones work well on official drivers")</t>
        </is>
      </c>
    </row>
    <row r="3" ht="23.85" customHeight="1" s="23">
      <c r="A3" s="31" t="inlineStr">
        <is>
          <t>DEC-2</t>
        </is>
      </c>
      <c r="B3" s="31" t="inlineStr">
        <is>
          <t>32-bit kernel (i386 kext slice) for 10.6/10.7 Macs booted K32</t>
        </is>
      </c>
      <c r="C3" s="31" t="inlineStr">
        <is>
          <t>yes / no</t>
        </is>
      </c>
      <c r="D3" s="31" t="inlineStr">
        <is>
          <t>yes if DEC-1 = a</t>
        </is>
      </c>
      <c r="E3" s="31" t="inlineStr">
        <is>
          <t>Without it, 10.6 Macs must boot the 64-bit kernel; 32-bit-EFI Macs cannot (U-1)</t>
        </is>
      </c>
      <c r="F3" s="31" t="inlineStr">
        <is>
          <t>BC-1.3, BC-2.2, BC-3.4</t>
        </is>
      </c>
      <c r="G3" s="38" t="inlineStr">
        <is>
          <t>Answered</t>
        </is>
      </c>
      <c r="H3" s="40" t="inlineStr">
        <is>
          <t>Moot (no i386 slice; Legacy dropped, 2026-10-22)</t>
        </is>
      </c>
    </row>
    <row r="4" ht="23.85" customHeight="1" s="23">
      <c r="A4" s="31" t="inlineStr">
        <is>
          <t>DEC-3</t>
        </is>
      </c>
      <c r="B4" s="31" t="inlineStr">
        <is>
          <t>Apple Silicon in scope</t>
        </is>
      </c>
      <c r="C4" s="31" t="inlineStr">
        <is>
          <t>yes (Apple Silicon Mac + TB3-&gt;TB2 + TB-&gt;FW800 adapters, Permissive Security, MIDI clone) / no</t>
        </is>
      </c>
      <c r="D4" s="31" t="inlineStr">
        <is>
          <t>yes as stage S2 once hardware exists</t>
        </is>
      </c>
      <c r="E4" s="31" t="inlineStr">
        <is>
          <t>Kernel families exist on arm64e in macOS 14.8.4 (E-5); hardware path unproven (U-10)</t>
        </is>
      </c>
      <c r="F4" s="31" t="inlineStr">
        <is>
          <t>BC-1.4, BC-2.3, BC-3.5, BC-4.3, BC-4.6, BC-6.4</t>
        </is>
      </c>
      <c r="G4" s="38" t="inlineStr">
        <is>
          <t>Open</t>
        </is>
      </c>
      <c r="H4" s="40" t="n"/>
    </row>
    <row r="5" ht="35.05" customHeight="1" s="23">
      <c r="A5" s="31" t="inlineStr">
        <is>
          <t>DEC-4</t>
        </is>
      </c>
      <c r="B5" s="31" t="inlineStr">
        <is>
          <t>Control panel on 10.6-10.8</t>
        </is>
      </c>
      <c r="C5" s="31" t="inlineStr">
        <is>
          <t>a) Objective-C port: one panel for every OS
b) Swift 10.9+ plus a separate Obj-C legacy panel
c) no panel on 10.6-10.8</t>
        </is>
      </c>
      <c r="D5" s="31" t="inlineStr">
        <is>
          <t>a if DEC-1 = a</t>
        </is>
      </c>
      <c r="E5" s="31" t="inlineStr">
        <is>
          <t>b doubles the UI code; c loses mixer, routing, clock and firmware-check UI on 10.6-10.8</t>
        </is>
      </c>
      <c r="F5" s="31" t="inlineStr">
        <is>
          <t>BC-4.4, BC-4.5</t>
        </is>
      </c>
      <c r="G5" s="38" t="inlineStr">
        <is>
          <t>Answered</t>
        </is>
      </c>
      <c r="H5" s="40" t="inlineStr">
        <is>
          <t>Moot (Swift panel kept; no Obj-C port; 2026-10-22)</t>
        </is>
      </c>
    </row>
    <row r="6" ht="23.85" customHeight="1" s="23">
      <c r="A6" s="31" t="inlineStr">
        <is>
          <t>DEC-5</t>
        </is>
      </c>
      <c r="B6" s="31" t="inlineStr">
        <is>
          <t>Packaging</t>
        </is>
      </c>
      <c r="C6" s="31" t="inlineStr">
        <is>
          <t>a) one package, OS-conditional choices
b) three editions (Legacy / Classic / Modern)</t>
        </is>
      </c>
      <c r="D6" s="31" t="inlineStr">
        <is>
          <t>a</t>
        </is>
      </c>
      <c r="E6" s="31" t="inlineStr">
        <is>
          <t>Same code either way; a = one download and one version per release</t>
        </is>
      </c>
      <c r="F6" s="31" t="inlineStr">
        <is>
          <t>BC-5.1</t>
        </is>
      </c>
      <c r="G6" s="38" t="inlineStr">
        <is>
          <t>Answered</t>
        </is>
      </c>
      <c r="H6" s="40" t="inlineStr">
        <is>
          <t>b) three editions: Legacy 10.6.8-10.8.5, Classic 10.9-10.15, Modern 11-15 (user, 2026-10-21, R125; plan v2 §11a)</t>
        </is>
      </c>
    </row>
    <row r="7" ht="23.85" customHeight="1" s="23">
      <c r="A7" s="31" t="inlineStr">
        <is>
          <t>DEC-6</t>
        </is>
      </c>
      <c r="B7" s="31" t="inlineStr">
        <is>
          <t>Source of the 10.6 SDK (band L)</t>
        </is>
      </c>
      <c r="C7" s="31" t="inlineStr">
        <is>
          <t>Apple developer downloads (Xcode 3.2.6 / 4.x, the user's Apple ID)</t>
        </is>
      </c>
      <c r="D7" s="31" t="inlineStr">
        <is>
          <t>user action</t>
        </is>
      </c>
      <c r="E7" s="31" t="inlineStr">
        <is>
          <t>Modern SDKs have no i386 libkmod (E-13) and their x86_64 headers produce symbols 10.6 lacks (E-1, E-2)</t>
        </is>
      </c>
      <c r="F7" s="31" t="inlineStr">
        <is>
          <t>BC-1.5, BC-2.2</t>
        </is>
      </c>
      <c r="G7" s="38" t="inlineStr">
        <is>
          <t>Answered</t>
        </is>
      </c>
      <c r="H7" s="40" t="inlineStr">
        <is>
          <t>Moot (no 10.6 SDK needed; 2026-10-22)</t>
        </is>
      </c>
    </row>
    <row r="8" ht="23.85" customHeight="1" s="23">
      <c r="A8" s="31" t="inlineStr">
        <is>
          <t>DEC-7</t>
        </is>
      </c>
      <c r="B8" s="31" t="inlineStr">
        <is>
          <t>Test hosts per band, and whether any BC-6 check happens</t>
        </is>
      </c>
      <c r="C8" s="31" t="inlineStr">
        <is>
          <t>SL rig second volume (10.6.8); iMac11,2 extra volume; MacBookAir5,1 (10.14/10.15); dev Mac (11-14); none</t>
        </is>
      </c>
      <c r="D8" s="31" t="inlineStr">
        <is>
          <t>the user's call</t>
        </is>
      </c>
      <c r="E8" s="31" t="inlineStr">
        <is>
          <t>No formal testing (R123): bands nobody loaded ship labelled untested</t>
        </is>
      </c>
      <c r="F8" s="31" t="inlineStr">
        <is>
          <t>BC-6.1 to BC-6.4</t>
        </is>
      </c>
      <c r="G8" s="38" t="inlineStr">
        <is>
          <t>Open</t>
        </is>
      </c>
      <c r="H8" s="40" t="inlineStr">
        <is>
          <t>Partly (user, 2026-10-21): the dev Mac (MacBookAir7,2, 14.8.9) for Modern Intel; other bands open</t>
        </is>
      </c>
    </row>
    <row r="9" ht="35.05" customHeight="1" s="23">
      <c r="A9" s="31" t="inlineStr">
        <is>
          <t>DEC-8</t>
        </is>
      </c>
      <c r="B9" s="31" t="inlineStr">
        <is>
          <t>MIDI on Apple Silicon</t>
        </is>
      </c>
      <c r="C9" s="31" t="inlineStr">
        <is>
          <t>a) clone plug-in (Apple Silicon only)
b) clone everywhere
c) no MIDI on Apple Silicon</t>
        </is>
      </c>
      <c r="D9" s="31" t="inlineStr">
        <is>
          <t>a</t>
        </is>
      </c>
      <c r="E9" s="31" t="inlineStr">
        <is>
          <t>An arm64e MIDIServer cannot load the x86_64/i386 M-Audio plug-in in-process (U-9); a keeps Intel unchanged</t>
        </is>
      </c>
      <c r="F9" s="31" t="inlineStr">
        <is>
          <t>BC-4.6</t>
        </is>
      </c>
      <c r="G9" s="38" t="inlineStr">
        <is>
          <t>Open</t>
        </is>
      </c>
      <c r="H9" s="40" t="n"/>
    </row>
    <row r="10" ht="23.85" customHeight="1" s="23">
      <c r="A10" s="31" t="inlineStr">
        <is>
          <t>DEC-9</t>
        </is>
      </c>
      <c r="B10" s="31" t="inlineStr">
        <is>
          <t>Where the work lives; version numbers</t>
        </is>
      </c>
      <c r="C10" s="31" t="inlineStr">
        <is>
          <t>branch of openaudio-mafw-bebob / new folder; package 0.3.0, driver 0.3.0</t>
        </is>
      </c>
      <c r="D10" s="31" t="inlineStr">
        <is>
          <t>branch; 0.3.0</t>
        </is>
      </c>
      <c r="E10" s="31" t="inlineStr">
        <is>
          <t>openaudio-fw1814/ stays frozen; band builds share one tree</t>
        </is>
      </c>
      <c r="F10" s="31" t="inlineStr">
        <is>
          <t>BC-2.1, BC-7.1</t>
        </is>
      </c>
      <c r="G10" s="38" t="inlineStr">
        <is>
          <t>Answered</t>
        </is>
      </c>
      <c r="H10" s="40" t="inlineStr">
        <is>
          <t>Same tree openaudio-mafw-bebob, BAND=classic|modern; package 0.3.0, driver 0.2.1 (R128, 2026-10-21)</t>
        </is>
      </c>
    </row>
    <row r="11" ht="23.85" customHeight="1" s="23">
      <c r="A11" s="31" t="inlineStr">
        <is>
          <t>DEC-10</t>
        </is>
      </c>
      <c r="B11" s="31" t="inlineStr">
        <is>
          <t>Build arm64e/arm64 slices on the dev Mac</t>
        </is>
      </c>
      <c r="C11" s="31" t="inlineStr">
        <is>
          <t>allow CLT builds there (CLAUDE.md keeps it edit-only) / use another Mac</t>
        </is>
      </c>
      <c r="D11" s="31" t="inlineStr">
        <is>
          <t>the user's call</t>
        </is>
      </c>
      <c r="E11" s="31" t="inlineStr">
        <is>
          <t>The dev Mac's CLT 15.2 SDK has arm64e libkmod (E-13)</t>
        </is>
      </c>
      <c r="F11" s="31" t="inlineStr">
        <is>
          <t>BC-2.3</t>
        </is>
      </c>
      <c r="G11" s="38" t="inlineStr">
        <is>
          <t>Answered</t>
        </is>
      </c>
      <c r="H11" s="40" t="inlineStr">
        <is>
          <t>Modern kext is built on the dev Mac (CLT 15.2 SDK, R125-R128); Apple Silicon slices not built</t>
        </is>
      </c>
    </row>
  </sheetData>
  <autoFilter ref="A1:H11"/>
  <conditionalFormatting sqref="G2:G100">
    <cfRule type="expression" rank="0" priority="2" equalAverage="0" aboveAverage="0" dxfId="8" text="" percent="0" bottom="0">
      <formula>$G2="Answered"</formula>
    </cfRule>
    <cfRule type="expression" rank="0" priority="3" equalAverage="0" aboveAverage="0" dxfId="10" text="" percent="0" bottom="0">
      <formula>$G2="Open"</formula>
    </cfRule>
  </conditionalFormatting>
  <dataValidations count="1">
    <dataValidation sqref="G2:G100" showDropDown="0" showInputMessage="0" showErrorMessage="0" allowBlank="0" type="list" errorStyle="stop" operator="between">
      <formula1>"Open,Answered,Deferred"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22" min="1" max="1"/>
    <col width="15" customWidth="1" style="22" min="2" max="2"/>
    <col width="10" customWidth="1" style="22" min="3" max="3"/>
    <col width="6" customWidth="1" style="22" min="4" max="4"/>
    <col width="24" customWidth="1" style="22" min="5" max="5"/>
    <col width="26" customWidth="1" style="22" min="6" max="7"/>
    <col width="28" customWidth="1" style="22" min="8" max="8"/>
    <col width="22" customWidth="1" style="22" min="9" max="9"/>
    <col width="14" customWidth="1" style="22" min="10" max="11"/>
    <col width="16" customWidth="1" style="22" min="12" max="12"/>
    <col width="22" customWidth="1" style="22" min="13" max="14"/>
    <col width="28" customWidth="1" style="22" min="15" max="15"/>
    <col width="22" customWidth="1" style="22" min="16" max="16"/>
    <col width="18" customWidth="1" style="22" min="17" max="17"/>
  </cols>
  <sheetData>
    <row r="1" ht="46.25" customHeight="1" s="23">
      <c r="A1" s="29" t="inlineStr">
        <is>
          <t>OS</t>
        </is>
      </c>
      <c r="B1" s="29" t="inlineStr">
        <is>
          <t>Name</t>
        </is>
      </c>
      <c r="C1" s="29" t="inlineStr">
        <is>
          <t>Darwin (version_major)</t>
        </is>
      </c>
      <c r="D1" s="29" t="inlineStr">
        <is>
          <t>Band</t>
        </is>
      </c>
      <c r="E1" s="29" t="inlineStr">
        <is>
          <t>Kernel arch</t>
        </is>
      </c>
      <c r="F1" s="29" t="inlineStr">
        <is>
          <t>Kext build</t>
        </is>
      </c>
      <c r="G1" s="29" t="inlineStr">
        <is>
          <t>Kext location</t>
        </is>
      </c>
      <c r="H1" s="29" t="inlineStr">
        <is>
          <t>Unsigned-kext prerequisite</t>
        </is>
      </c>
      <c r="I1" s="29" t="inlineStr">
        <is>
          <t>Cache / load tool</t>
        </is>
      </c>
      <c r="J1" s="29" t="inlineStr">
        <is>
          <t>IOAudioFamily</t>
        </is>
      </c>
      <c r="K1" s="29" t="inlineStr">
        <is>
          <t>IOFireWireFamily</t>
        </is>
      </c>
      <c r="L1" s="29" t="inlineStr">
        <is>
          <t>AppleFWAudio.kext</t>
        </is>
      </c>
      <c r="M1" s="29" t="inlineStr">
        <is>
          <t>Panel</t>
        </is>
      </c>
      <c r="N1" s="29" t="inlineStr">
        <is>
          <t>MIDI plug-in</t>
        </is>
      </c>
      <c r="O1" s="29" t="inlineStr">
        <is>
          <t>Project host</t>
        </is>
      </c>
      <c r="P1" s="29" t="inlineStr">
        <is>
          <t>Facts status</t>
        </is>
      </c>
      <c r="Q1" s="29" t="inlineStr">
        <is>
          <t>Source</t>
        </is>
      </c>
    </row>
    <row r="2" ht="23.85" customHeight="1" s="23">
      <c r="A2" s="31" t="inlineStr">
        <is>
          <t>10.6.8</t>
        </is>
      </c>
      <c r="B2" s="31" t="inlineStr">
        <is>
          <t>Snow Leopard</t>
        </is>
      </c>
      <c r="C2" s="30" t="n">
        <v>10</v>
      </c>
      <c r="D2" s="30" t="inlineStr">
        <is>
          <t>L</t>
        </is>
      </c>
      <c r="E2" s="31" t="inlineStr">
        <is>
          <t>i386 (K32, default on most Macs, U-1) or x86_64</t>
        </is>
      </c>
      <c r="F2" s="31" t="inlineStr">
        <is>
          <t>Legacy i386 + x86_64</t>
        </is>
      </c>
      <c r="G2" s="31" t="inlineStr">
        <is>
          <t>/System/Library/Extensions (U-3)</t>
        </is>
      </c>
      <c r="H2" s="31" t="inlineStr">
        <is>
          <t>none (U-2)</t>
        </is>
      </c>
      <c r="I2" s="31" t="inlineStr">
        <is>
          <t>touch /S/L/E + kextcache</t>
        </is>
      </c>
      <c r="J2" s="31" t="inlineStr">
        <is>
          <t>—</t>
        </is>
      </c>
      <c r="K2" s="31" t="inlineStr">
        <is>
          <t>—</t>
        </is>
      </c>
      <c r="L2" s="31" t="inlineStr">
        <is>
          <t>unverified</t>
        </is>
      </c>
      <c r="M2" s="31" t="inlineStr">
        <is>
          <t>Obj-C port or none (DEC-4)</t>
        </is>
      </c>
      <c r="N2" s="31" t="inlineStr">
        <is>
          <t>original if U-7 holds, else clone</t>
        </is>
      </c>
      <c r="O2" s="31" t="inlineStr">
        <is>
          <t>SL rig (keep v1.9 install: separate volume); iMac11,2</t>
        </is>
      </c>
      <c r="P2" s="31" t="inlineStr">
        <is>
          <t>Unverified except: v1.9 runs here (SL rig)</t>
        </is>
      </c>
      <c r="Q2" s="31" t="inlineStr">
        <is>
          <t>U-1, U-2, U-3, U-7</t>
        </is>
      </c>
    </row>
    <row r="3" ht="23.85" customHeight="1" s="23">
      <c r="A3" s="31" t="inlineStr">
        <is>
          <t>10.7.5</t>
        </is>
      </c>
      <c r="B3" s="31" t="inlineStr">
        <is>
          <t>Lion</t>
        </is>
      </c>
      <c r="C3" s="30" t="n">
        <v>11</v>
      </c>
      <c r="D3" s="30" t="inlineStr">
        <is>
          <t>L</t>
        </is>
      </c>
      <c r="E3" s="31" t="inlineStr">
        <is>
          <t>x86_64 (K32 on some Macs, U-1)</t>
        </is>
      </c>
      <c r="F3" s="31" t="inlineStr">
        <is>
          <t>Legacy i386 + x86_64</t>
        </is>
      </c>
      <c r="G3" s="31" t="inlineStr">
        <is>
          <t>/System/Library/Extensions (U-3)</t>
        </is>
      </c>
      <c r="H3" s="31" t="inlineStr">
        <is>
          <t>none (U-2)</t>
        </is>
      </c>
      <c r="I3" s="31" t="inlineStr">
        <is>
          <t>touch /S/L/E + kextcache</t>
        </is>
      </c>
      <c r="J3" s="31" t="inlineStr">
        <is>
          <t>—</t>
        </is>
      </c>
      <c r="K3" s="31" t="inlineStr">
        <is>
          <t>—</t>
        </is>
      </c>
      <c r="L3" s="31" t="inlineStr">
        <is>
          <t>unverified</t>
        </is>
      </c>
      <c r="M3" s="31" t="inlineStr">
        <is>
          <t>Obj-C port or none</t>
        </is>
      </c>
      <c r="N3" s="31" t="inlineStr">
        <is>
          <t>original (min 10.7, E-12)</t>
        </is>
      </c>
      <c r="O3" s="31" t="inlineStr">
        <is>
          <t>iMac11,2; MacBookAir5,1 (recalled ranges)</t>
        </is>
      </c>
      <c r="P3" s="31" t="inlineStr">
        <is>
          <t>Unverified</t>
        </is>
      </c>
      <c r="Q3" s="31" t="inlineStr">
        <is>
          <t>U-1, U-2, U-3</t>
        </is>
      </c>
    </row>
    <row r="4" ht="23.85" customHeight="1" s="23">
      <c r="A4" s="31" t="inlineStr">
        <is>
          <t>10.8.5</t>
        </is>
      </c>
      <c r="B4" s="31" t="inlineStr">
        <is>
          <t>Mountain Lion</t>
        </is>
      </c>
      <c r="C4" s="30" t="n">
        <v>12</v>
      </c>
      <c r="D4" s="30" t="inlineStr">
        <is>
          <t>L</t>
        </is>
      </c>
      <c r="E4" s="31" t="inlineStr">
        <is>
          <t>x86_64</t>
        </is>
      </c>
      <c r="F4" s="31" t="inlineStr">
        <is>
          <t>Legacy i386 + x86_64 (x86_64 used)</t>
        </is>
      </c>
      <c r="G4" s="31" t="inlineStr">
        <is>
          <t>/System/Library/Extensions (U-3)</t>
        </is>
      </c>
      <c r="H4" s="31" t="inlineStr">
        <is>
          <t>none (U-2)</t>
        </is>
      </c>
      <c r="I4" s="31" t="inlineStr">
        <is>
          <t>touch /S/L/E + kextcache</t>
        </is>
      </c>
      <c r="J4" s="31" t="inlineStr">
        <is>
          <t>—</t>
        </is>
      </c>
      <c r="K4" s="31" t="inlineStr">
        <is>
          <t>—</t>
        </is>
      </c>
      <c r="L4" s="31" t="inlineStr">
        <is>
          <t>unverified</t>
        </is>
      </c>
      <c r="M4" s="31" t="inlineStr">
        <is>
          <t>Obj-C port or none</t>
        </is>
      </c>
      <c r="N4" s="31" t="inlineStr">
        <is>
          <t>original</t>
        </is>
      </c>
      <c r="O4" s="31" t="inlineStr">
        <is>
          <t>iMac11,2; MacBookAir5,1</t>
        </is>
      </c>
      <c r="P4" s="31" t="inlineStr">
        <is>
          <t>Unverified</t>
        </is>
      </c>
      <c r="Q4" s="31" t="inlineStr">
        <is>
          <t>U-2, U-3</t>
        </is>
      </c>
    </row>
    <row r="5" ht="23.85" customHeight="1" s="23">
      <c r="A5" s="31" t="inlineStr">
        <is>
          <t>10.9.5</t>
        </is>
      </c>
      <c r="B5" s="31" t="inlineStr">
        <is>
          <t>Mavericks</t>
        </is>
      </c>
      <c r="C5" s="30" t="n">
        <v>13</v>
      </c>
      <c r="D5" s="30" t="inlineStr">
        <is>
          <t>M</t>
        </is>
      </c>
      <c r="E5" s="31" t="inlineStr">
        <is>
          <t>x86_64</t>
        </is>
      </c>
      <c r="F5" s="31" t="inlineStr">
        <is>
          <t>Main x86_64 (after BC-3.2; U-4)</t>
        </is>
      </c>
      <c r="G5" s="31" t="inlineStr">
        <is>
          <t>/Library/Extensions</t>
        </is>
      </c>
      <c r="H5" s="31" t="inlineStr">
        <is>
          <t>unverified (U-2)</t>
        </is>
      </c>
      <c r="I5" s="31" t="inlineStr">
        <is>
          <t>kextcache -system-caches</t>
        </is>
      </c>
      <c r="J5" s="31" t="inlineStr">
        <is>
          <t>—</t>
        </is>
      </c>
      <c r="K5" s="31" t="inlineStr">
        <is>
          <t>—</t>
        </is>
      </c>
      <c r="L5" s="31" t="inlineStr">
        <is>
          <t>unverified</t>
        </is>
      </c>
      <c r="M5" s="31" t="inlineStr">
        <is>
          <t>Swift (after BC-4.2)</t>
        </is>
      </c>
      <c r="N5" s="31" t="inlineStr">
        <is>
          <t>original</t>
        </is>
      </c>
      <c r="O5" s="31" t="inlineStr">
        <is>
          <t>iMac11,2; MacBookAir5,1</t>
        </is>
      </c>
      <c r="P5" s="31" t="inlineStr">
        <is>
          <t>Unverified</t>
        </is>
      </c>
      <c r="Q5" s="31" t="inlineStr">
        <is>
          <t>U-2, U-4, U-5</t>
        </is>
      </c>
    </row>
    <row r="6" ht="15" customHeight="1" s="23">
      <c r="A6" s="31" t="inlineStr">
        <is>
          <t>10.10.5</t>
        </is>
      </c>
      <c r="B6" s="31" t="inlineStr">
        <is>
          <t>Yosemite</t>
        </is>
      </c>
      <c r="C6" s="30" t="n">
        <v>14</v>
      </c>
      <c r="D6" s="30" t="inlineStr">
        <is>
          <t>M</t>
        </is>
      </c>
      <c r="E6" s="31" t="inlineStr">
        <is>
          <t>x86_64</t>
        </is>
      </c>
      <c r="F6" s="31" t="inlineStr">
        <is>
          <t>Main x86_64</t>
        </is>
      </c>
      <c r="G6" s="31" t="inlineStr">
        <is>
          <t>/Library/Extensions</t>
        </is>
      </c>
      <c r="H6" s="31" t="inlineStr">
        <is>
          <t>boot-arg kext-dev-mode=1 (U-2)</t>
        </is>
      </c>
      <c r="I6" s="31" t="inlineStr">
        <is>
          <t>kextcache -system-caches</t>
        </is>
      </c>
      <c r="J6" s="31" t="inlineStr">
        <is>
          <t>—</t>
        </is>
      </c>
      <c r="K6" s="31" t="inlineStr">
        <is>
          <t>—</t>
        </is>
      </c>
      <c r="L6" s="31" t="inlineStr">
        <is>
          <t>unverified</t>
        </is>
      </c>
      <c r="M6" s="31" t="inlineStr">
        <is>
          <t>Swift (after BC-4.2)</t>
        </is>
      </c>
      <c r="N6" s="31" t="inlineStr">
        <is>
          <t>original</t>
        </is>
      </c>
      <c r="O6" s="31" t="inlineStr">
        <is>
          <t>iMac11,2; MacBookAir5,1</t>
        </is>
      </c>
      <c r="P6" s="31" t="inlineStr">
        <is>
          <t>Unverified</t>
        </is>
      </c>
      <c r="Q6" s="31" t="inlineStr">
        <is>
          <t>U-2, U-5</t>
        </is>
      </c>
    </row>
    <row r="7" ht="15" customHeight="1" s="23">
      <c r="A7" s="31" t="inlineStr">
        <is>
          <t>10.11.6</t>
        </is>
      </c>
      <c r="B7" s="31" t="inlineStr">
        <is>
          <t>El Capitan</t>
        </is>
      </c>
      <c r="C7" s="30" t="n">
        <v>15</v>
      </c>
      <c r="D7" s="30" t="inlineStr">
        <is>
          <t>M</t>
        </is>
      </c>
      <c r="E7" s="31" t="inlineStr">
        <is>
          <t>x86_64</t>
        </is>
      </c>
      <c r="F7" s="31" t="inlineStr">
        <is>
          <t>Main x86_64</t>
        </is>
      </c>
      <c r="G7" s="31" t="inlineStr">
        <is>
          <t>/Library/Extensions</t>
        </is>
      </c>
      <c r="H7" s="31" t="inlineStr">
        <is>
          <t>SIP off or --without kext (U-2)</t>
        </is>
      </c>
      <c r="I7" s="31" t="inlineStr">
        <is>
          <t>kextcache -system-caches</t>
        </is>
      </c>
      <c r="J7" s="31" t="inlineStr">
        <is>
          <t>—</t>
        </is>
      </c>
      <c r="K7" s="31" t="inlineStr">
        <is>
          <t>—</t>
        </is>
      </c>
      <c r="L7" s="31" t="inlineStr">
        <is>
          <t>unverified</t>
        </is>
      </c>
      <c r="M7" s="31" t="inlineStr">
        <is>
          <t>Swift (after BC-4.2)</t>
        </is>
      </c>
      <c r="N7" s="31" t="inlineStr">
        <is>
          <t>original</t>
        </is>
      </c>
      <c r="O7" s="31" t="inlineStr">
        <is>
          <t>iMac11,2; MacBookAir5,1</t>
        </is>
      </c>
      <c r="P7" s="31" t="inlineStr">
        <is>
          <t>Unverified</t>
        </is>
      </c>
      <c r="Q7" s="31" t="inlineStr">
        <is>
          <t>U-2, U-5</t>
        </is>
      </c>
    </row>
    <row r="8" ht="15" customHeight="1" s="23">
      <c r="A8" s="31" t="inlineStr">
        <is>
          <t>10.12.6</t>
        </is>
      </c>
      <c r="B8" s="31" t="inlineStr">
        <is>
          <t>Sierra</t>
        </is>
      </c>
      <c r="C8" s="30" t="n">
        <v>16</v>
      </c>
      <c r="D8" s="30" t="inlineStr">
        <is>
          <t>M</t>
        </is>
      </c>
      <c r="E8" s="31" t="inlineStr">
        <is>
          <t>x86_64</t>
        </is>
      </c>
      <c r="F8" s="31" t="inlineStr">
        <is>
          <t>Main x86_64</t>
        </is>
      </c>
      <c r="G8" s="31" t="inlineStr">
        <is>
          <t>/Library/Extensions</t>
        </is>
      </c>
      <c r="H8" s="31" t="inlineStr">
        <is>
          <t>SIP off (U-2)</t>
        </is>
      </c>
      <c r="I8" s="31" t="inlineStr">
        <is>
          <t>kextcache -system-caches</t>
        </is>
      </c>
      <c r="J8" s="31" t="inlineStr">
        <is>
          <t>—</t>
        </is>
      </c>
      <c r="K8" s="31" t="inlineStr">
        <is>
          <t>—</t>
        </is>
      </c>
      <c r="L8" s="31" t="inlineStr">
        <is>
          <t>unverified</t>
        </is>
      </c>
      <c r="M8" s="31" t="inlineStr">
        <is>
          <t>Swift (after BC-4.2)</t>
        </is>
      </c>
      <c r="N8" s="31" t="inlineStr">
        <is>
          <t>original</t>
        </is>
      </c>
      <c r="O8" s="31" t="inlineStr">
        <is>
          <t>iMac11,2; MacBookAir5,1</t>
        </is>
      </c>
      <c r="P8" s="31" t="inlineStr">
        <is>
          <t>Unverified</t>
        </is>
      </c>
      <c r="Q8" s="31" t="inlineStr">
        <is>
          <t>U-2, U-5</t>
        </is>
      </c>
    </row>
    <row r="9" ht="15" customHeight="1" s="23">
      <c r="A9" s="31" t="inlineStr">
        <is>
          <t>10.13.6</t>
        </is>
      </c>
      <c r="B9" s="31" t="inlineStr">
        <is>
          <t>High Sierra</t>
        </is>
      </c>
      <c r="C9" s="30" t="n">
        <v>17</v>
      </c>
      <c r="D9" s="30" t="inlineStr">
        <is>
          <t>M</t>
        </is>
      </c>
      <c r="E9" s="31" t="inlineStr">
        <is>
          <t>x86_64</t>
        </is>
      </c>
      <c r="F9" s="31" t="inlineStr">
        <is>
          <t>Main x86_64 (= today's build)</t>
        </is>
      </c>
      <c r="G9" s="31" t="inlineStr">
        <is>
          <t>/Library/Extensions</t>
        </is>
      </c>
      <c r="H9" s="31" t="inlineStr">
        <is>
          <t>SIP off (verified by the project)</t>
        </is>
      </c>
      <c r="I9" s="31" t="inlineStr">
        <is>
          <t>kextcache -system-caches</t>
        </is>
      </c>
      <c r="J9" s="31" t="inlineStr">
        <is>
          <t>206.5 (E-8)</t>
        </is>
      </c>
      <c r="K9" s="31" t="inlineStr">
        <is>
          <t>4.7.2 (E-8)</t>
        </is>
      </c>
      <c r="L9" s="31" t="inlineStr">
        <is>
          <t>present (E-8)</t>
        </is>
      </c>
      <c r="M9" s="31" t="inlineStr">
        <is>
          <t>Swift (today)</t>
        </is>
      </c>
      <c r="N9" s="31" t="inlineStr">
        <is>
          <t>original (today)</t>
        </is>
      </c>
      <c r="O9" s="31" t="inlineStr">
        <is>
          <t>build PC; MacBook Air (today)</t>
        </is>
      </c>
      <c r="P9" s="31" t="inlineStr">
        <is>
          <t>Verified (0.2.2 in use)</t>
        </is>
      </c>
      <c r="Q9" s="31" t="inlineStr">
        <is>
          <t>E-3, E-8, E-9</t>
        </is>
      </c>
    </row>
    <row r="10" ht="15" customHeight="1" s="23">
      <c r="A10" s="31" t="inlineStr">
        <is>
          <t>10.14.6</t>
        </is>
      </c>
      <c r="B10" s="31" t="inlineStr">
        <is>
          <t>Mojave</t>
        </is>
      </c>
      <c r="C10" s="30" t="n">
        <v>18</v>
      </c>
      <c r="D10" s="30" t="inlineStr">
        <is>
          <t>M</t>
        </is>
      </c>
      <c r="E10" s="31" t="inlineStr">
        <is>
          <t>x86_64</t>
        </is>
      </c>
      <c r="F10" s="31" t="inlineStr">
        <is>
          <t>Main x86_64</t>
        </is>
      </c>
      <c r="G10" s="31" t="inlineStr">
        <is>
          <t>/Library/Extensions</t>
        </is>
      </c>
      <c r="H10" s="31" t="inlineStr">
        <is>
          <t>SIP off (U-2)</t>
        </is>
      </c>
      <c r="I10" s="31" t="inlineStr">
        <is>
          <t>kextcache -system-caches</t>
        </is>
      </c>
      <c r="J10" s="31" t="inlineStr">
        <is>
          <t>—</t>
        </is>
      </c>
      <c r="K10" s="31" t="inlineStr">
        <is>
          <t>—</t>
        </is>
      </c>
      <c r="L10" s="31" t="inlineStr">
        <is>
          <t>unverified</t>
        </is>
      </c>
      <c r="M10" s="31" t="inlineStr">
        <is>
          <t>Swift</t>
        </is>
      </c>
      <c r="N10" s="31" t="inlineStr">
        <is>
          <t>original</t>
        </is>
      </c>
      <c r="O10" s="31" t="inlineStr">
        <is>
          <t>MacBookAir5,1</t>
        </is>
      </c>
      <c r="P10" s="31" t="inlineStr">
        <is>
          <t>Unverified</t>
        </is>
      </c>
      <c r="Q10" s="31" t="inlineStr">
        <is>
          <t>U-2</t>
        </is>
      </c>
    </row>
    <row r="11" ht="23.85" customHeight="1" s="23">
      <c r="A11" s="31" t="inlineStr">
        <is>
          <t>10.15.7</t>
        </is>
      </c>
      <c r="B11" s="31" t="inlineStr">
        <is>
          <t>Catalina</t>
        </is>
      </c>
      <c r="C11" s="30" t="n">
        <v>19</v>
      </c>
      <c r="D11" s="30" t="inlineStr">
        <is>
          <t>M</t>
        </is>
      </c>
      <c r="E11" s="31" t="inlineStr">
        <is>
          <t>x86_64</t>
        </is>
      </c>
      <c r="F11" s="31" t="inlineStr">
        <is>
          <t>Main x86_64</t>
        </is>
      </c>
      <c r="G11" s="31" t="inlineStr">
        <is>
          <t>/Library/Extensions (system volume read-only)</t>
        </is>
      </c>
      <c r="H11" s="31" t="inlineStr">
        <is>
          <t>SIP off (U-2)</t>
        </is>
      </c>
      <c r="I11" s="31" t="inlineStr">
        <is>
          <t>kextcache -i /</t>
        </is>
      </c>
      <c r="J11" s="31" t="inlineStr">
        <is>
          <t>—</t>
        </is>
      </c>
      <c r="K11" s="31" t="inlineStr">
        <is>
          <t>—</t>
        </is>
      </c>
      <c r="L11" s="31" t="inlineStr">
        <is>
          <t>unverified</t>
        </is>
      </c>
      <c r="M11" s="31" t="inlineStr">
        <is>
          <t>Swift</t>
        </is>
      </c>
      <c r="N11" s="31" t="inlineStr">
        <is>
          <t>original</t>
        </is>
      </c>
      <c r="O11" s="31" t="inlineStr">
        <is>
          <t>MacBookAir5,1</t>
        </is>
      </c>
      <c r="P11" s="31" t="inlineStr">
        <is>
          <t>Unverified</t>
        </is>
      </c>
      <c r="Q11" s="31" t="inlineStr">
        <is>
          <t>U-2</t>
        </is>
      </c>
    </row>
    <row r="12" ht="23.85" customHeight="1" s="23">
      <c r="A12" s="31" t="inlineStr">
        <is>
          <t>11 (Intel)</t>
        </is>
      </c>
      <c r="B12" s="31" t="inlineStr">
        <is>
          <t>Big Sur</t>
        </is>
      </c>
      <c r="C12" s="30" t="n">
        <v>20</v>
      </c>
      <c r="D12" s="30" t="inlineStr">
        <is>
          <t>M11</t>
        </is>
      </c>
      <c r="E12" s="31" t="inlineStr">
        <is>
          <t>x86_64</t>
        </is>
      </c>
      <c r="F12" s="31" t="inlineStr">
        <is>
          <t>Modern x86_64 (15.x SDK)</t>
        </is>
      </c>
      <c r="G12" s="31" t="inlineStr">
        <is>
          <t>/Library/Extensions -&gt; auxiliary KC</t>
        </is>
      </c>
      <c r="H12" s="31" t="inlineStr">
        <is>
          <t>SIP off; approval + restart (U-2)</t>
        </is>
      </c>
      <c r="I12" s="31" t="inlineStr">
        <is>
          <t>kmutil (kextutil -n -t for the gate)</t>
        </is>
      </c>
      <c r="J12" s="31" t="inlineStr">
        <is>
          <t>—</t>
        </is>
      </c>
      <c r="K12" s="31" t="inlineStr">
        <is>
          <t>—</t>
        </is>
      </c>
      <c r="L12" s="31" t="inlineStr">
        <is>
          <t>unverified</t>
        </is>
      </c>
      <c r="M12" s="31" t="inlineStr">
        <is>
          <t>Swift (E-10 on 14)</t>
        </is>
      </c>
      <c r="N12" s="31" t="inlineStr">
        <is>
          <t>original (U-8)</t>
        </is>
      </c>
      <c r="O12" s="31" t="inlineStr">
        <is>
          <t>dev Mac (supports up to 12, recalled)</t>
        </is>
      </c>
      <c r="P12" s="31" t="inlineStr">
        <is>
          <t>Unverified</t>
        </is>
      </c>
      <c r="Q12" s="31" t="inlineStr">
        <is>
          <t>U-2, U-8, U-11</t>
        </is>
      </c>
    </row>
    <row r="13" ht="23.85" customHeight="1" s="23">
      <c r="A13" s="31" t="inlineStr">
        <is>
          <t>12 (Intel)</t>
        </is>
      </c>
      <c r="B13" s="31" t="inlineStr">
        <is>
          <t>Monterey</t>
        </is>
      </c>
      <c r="C13" s="30" t="n">
        <v>21</v>
      </c>
      <c r="D13" s="30" t="inlineStr">
        <is>
          <t>M11</t>
        </is>
      </c>
      <c r="E13" s="31" t="inlineStr">
        <is>
          <t>x86_64</t>
        </is>
      </c>
      <c r="F13" s="31" t="inlineStr">
        <is>
          <t>Modern x86_64 (15.x SDK)</t>
        </is>
      </c>
      <c r="G13" s="31" t="inlineStr">
        <is>
          <t>/Library/Extensions -&gt; auxiliary KC</t>
        </is>
      </c>
      <c r="H13" s="31" t="inlineStr">
        <is>
          <t>SIP off; approval + restart (U-2)</t>
        </is>
      </c>
      <c r="I13" s="31" t="inlineStr">
        <is>
          <t>kmutil</t>
        </is>
      </c>
      <c r="J13" s="31" t="inlineStr">
        <is>
          <t>—</t>
        </is>
      </c>
      <c r="K13" s="31" t="inlineStr">
        <is>
          <t>—</t>
        </is>
      </c>
      <c r="L13" s="31" t="inlineStr">
        <is>
          <t>unverified</t>
        </is>
      </c>
      <c r="M13" s="31" t="inlineStr">
        <is>
          <t>Swift</t>
        </is>
      </c>
      <c r="N13" s="31" t="inlineStr">
        <is>
          <t>original (U-8)</t>
        </is>
      </c>
      <c r="O13" s="31" t="inlineStr">
        <is>
          <t>dev Mac</t>
        </is>
      </c>
      <c r="P13" s="31" t="inlineStr">
        <is>
          <t>Unverified</t>
        </is>
      </c>
      <c r="Q13" s="31" t="inlineStr">
        <is>
          <t>U-2, U-8, U-11</t>
        </is>
      </c>
    </row>
    <row r="14" ht="23.85" customHeight="1" s="23">
      <c r="A14" s="31" t="inlineStr">
        <is>
          <t>13 (Intel)</t>
        </is>
      </c>
      <c r="B14" s="31" t="inlineStr">
        <is>
          <t>Ventura</t>
        </is>
      </c>
      <c r="C14" s="30" t="n">
        <v>22</v>
      </c>
      <c r="D14" s="30" t="inlineStr">
        <is>
          <t>M11</t>
        </is>
      </c>
      <c r="E14" s="31" t="inlineStr">
        <is>
          <t>x86_64</t>
        </is>
      </c>
      <c r="F14" s="31" t="inlineStr">
        <is>
          <t>Modern x86_64 (15.x SDK)</t>
        </is>
      </c>
      <c r="G14" s="31" t="inlineStr">
        <is>
          <t>/Library/Extensions -&gt; auxiliary KC</t>
        </is>
      </c>
      <c r="H14" s="31" t="inlineStr">
        <is>
          <t>SIP off; approval + restart (U-2)</t>
        </is>
      </c>
      <c r="I14" s="31" t="inlineStr">
        <is>
          <t>kmutil</t>
        </is>
      </c>
      <c r="J14" s="31" t="inlineStr">
        <is>
          <t>—</t>
        </is>
      </c>
      <c r="K14" s="31" t="inlineStr">
        <is>
          <t>—</t>
        </is>
      </c>
      <c r="L14" s="31" t="inlineStr">
        <is>
          <t>unverified</t>
        </is>
      </c>
      <c r="M14" s="31" t="inlineStr">
        <is>
          <t>Swift</t>
        </is>
      </c>
      <c r="N14" s="31" t="inlineStr">
        <is>
          <t>original (U-8)</t>
        </is>
      </c>
      <c r="O14" s="31" t="inlineStr">
        <is>
          <t>dev Mac (non-standard install)</t>
        </is>
      </c>
      <c r="P14" s="31" t="inlineStr">
        <is>
          <t>Unverified</t>
        </is>
      </c>
      <c r="Q14" s="31" t="inlineStr">
        <is>
          <t>U-2, U-8, U-11</t>
        </is>
      </c>
    </row>
    <row r="15" ht="23.85" customHeight="1" s="23">
      <c r="A15" s="31" t="inlineStr">
        <is>
          <t>14 (Intel)</t>
        </is>
      </c>
      <c r="B15" s="31" t="inlineStr">
        <is>
          <t>Sonoma</t>
        </is>
      </c>
      <c r="C15" s="30" t="n">
        <v>23</v>
      </c>
      <c r="D15" s="30" t="inlineStr">
        <is>
          <t>M11</t>
        </is>
      </c>
      <c r="E15" s="31" t="inlineStr">
        <is>
          <t>x86_64</t>
        </is>
      </c>
      <c r="F15" s="31" t="inlineStr">
        <is>
          <t>Modern x86_64 (15.x SDK): loads and plays (E-18)</t>
        </is>
      </c>
      <c r="G15" s="31" t="inlineStr">
        <is>
          <t>/Library/Extensions -&gt; auxiliary KC</t>
        </is>
      </c>
      <c r="H15" s="31" t="inlineStr">
        <is>
          <t>SIP off; approval + restart (U-2)</t>
        </is>
      </c>
      <c r="I15" s="31" t="inlineStr">
        <is>
          <t>kmutil</t>
        </is>
      </c>
      <c r="J15" s="31" t="inlineStr">
        <is>
          <t>540.3 (E-7)</t>
        </is>
      </c>
      <c r="K15" s="31" t="inlineStr">
        <is>
          <t>4.8.3 (E-7)</t>
        </is>
      </c>
      <c r="L15" s="31" t="inlineStr">
        <is>
          <t>absent (E-7)</t>
        </is>
      </c>
      <c r="M15" s="31" t="inlineStr">
        <is>
          <t>Swift (demo runs, E-10)</t>
        </is>
      </c>
      <c r="N15" s="31" t="inlineStr">
        <is>
          <t>original (U-8)</t>
        </is>
      </c>
      <c r="O15" s="31" t="inlineStr">
        <is>
          <t>dev Mac 14.8.9 (non-standard install)</t>
        </is>
      </c>
      <c r="P15" s="31" t="inlineStr">
        <is>
          <t>Partly verified (static)</t>
        </is>
      </c>
      <c r="Q15" s="31" t="inlineStr">
        <is>
          <t>E-4, E-7, E-10, U-11</t>
        </is>
      </c>
    </row>
    <row r="16" ht="23.85" customHeight="1" s="23">
      <c r="A16" s="31" t="inlineStr">
        <is>
          <t>15 (Intel)</t>
        </is>
      </c>
      <c r="B16" s="31" t="inlineStr">
        <is>
          <t>Sequoia</t>
        </is>
      </c>
      <c r="C16" s="30" t="n">
        <v>24</v>
      </c>
      <c r="D16" s="30" t="inlineStr">
        <is>
          <t>M11</t>
        </is>
      </c>
      <c r="E16" s="31" t="inlineStr">
        <is>
          <t>x86_64</t>
        </is>
      </c>
      <c r="F16" s="31" t="inlineStr">
        <is>
          <t>Modern x86_64 (15.x SDK)</t>
        </is>
      </c>
      <c r="G16" s="31" t="inlineStr">
        <is>
          <t>/Library/Extensions -&gt; auxiliary KC</t>
        </is>
      </c>
      <c r="H16" s="31" t="inlineStr">
        <is>
          <t>SIP off; approval + restart (U-2)</t>
        </is>
      </c>
      <c r="I16" s="31" t="inlineStr">
        <is>
          <t>kmutil</t>
        </is>
      </c>
      <c r="J16" s="31" t="inlineStr">
        <is>
          <t>—</t>
        </is>
      </c>
      <c r="K16" s="31" t="inlineStr">
        <is>
          <t>—</t>
        </is>
      </c>
      <c r="L16" s="31" t="inlineStr">
        <is>
          <t>unverified</t>
        </is>
      </c>
      <c r="M16" s="31" t="inlineStr">
        <is>
          <t>Swift</t>
        </is>
      </c>
      <c r="N16" s="31" t="inlineStr">
        <is>
          <t>original (U-8)</t>
        </is>
      </c>
      <c r="O16" s="31" t="inlineStr">
        <is>
          <t>none</t>
        </is>
      </c>
      <c r="P16" s="31" t="inlineStr">
        <is>
          <t>Unverified</t>
        </is>
      </c>
      <c r="Q16" s="31" t="inlineStr">
        <is>
          <t>U-2, U-8, U-11</t>
        </is>
      </c>
    </row>
    <row r="17" ht="46.25" customHeight="1" s="23">
      <c r="A17" s="31" t="inlineStr">
        <is>
          <t>11-15 (Apple Silicon)</t>
        </is>
      </c>
      <c r="B17" s="31" t="inlineStr">
        <is>
          <t>Big Sur ... Sequoia</t>
        </is>
      </c>
      <c r="C17" s="30" t="inlineStr">
        <is>
          <t>20-24</t>
        </is>
      </c>
      <c r="D17" s="30" t="inlineStr">
        <is>
          <t>AS</t>
        </is>
      </c>
      <c r="E17" s="31" t="inlineStr">
        <is>
          <t>arm64e</t>
        </is>
      </c>
      <c r="F17" s="31" t="inlineStr">
        <is>
          <t>Main arm64e slice (BC-3.5)</t>
        </is>
      </c>
      <c r="G17" s="31" t="inlineStr">
        <is>
          <t>/Library/Extensions -&gt; auxiliary KC</t>
        </is>
      </c>
      <c r="H17" s="31" t="inlineStr">
        <is>
          <t>Permissive Security + user-managed kexts; approval + restart (U-2)</t>
        </is>
      </c>
      <c r="I17" s="31" t="inlineStr">
        <is>
          <t>kmutil</t>
        </is>
      </c>
      <c r="J17" s="31" t="inlineStr">
        <is>
          <t>arm64e build exists (E-5)</t>
        </is>
      </c>
      <c r="K17" s="31" t="inlineStr">
        <is>
          <t>arm64e build exists (E-5)</t>
        </is>
      </c>
      <c r="L17" s="31" t="inlineStr">
        <is>
          <t>absent in kernelcache manifests (E-5 lists no AppleFWAudio)</t>
        </is>
      </c>
      <c r="M17" s="31" t="inlineStr">
        <is>
          <t>arm64 slice (BC-4.3)</t>
        </is>
      </c>
      <c r="N17" s="31" t="inlineStr">
        <is>
          <t>clone (DEC-8, U-9)</t>
        </is>
      </c>
      <c r="O17" s="31" t="inlineStr">
        <is>
          <t>none (needs hardware + 2 adapters)</t>
        </is>
      </c>
      <c r="P17" s="31" t="inlineStr">
        <is>
          <t>Families verified present (static); hardware path unverified</t>
        </is>
      </c>
      <c r="Q17" s="31" t="inlineStr">
        <is>
          <t>E-5, E-6, U-9, U-10, U-14</t>
        </is>
      </c>
    </row>
    <row r="18" ht="23.85" customHeight="1" s="23">
      <c r="A18" s="31" t="inlineStr">
        <is>
          <t>26</t>
        </is>
      </c>
      <c r="B18" s="31" t="inlineStr">
        <is>
          <t>Tahoe</t>
        </is>
      </c>
      <c r="C18" s="30" t="n">
        <v>25</v>
      </c>
      <c r="D18" s="30" t="inlineStr">
        <is>
          <t>—</t>
        </is>
      </c>
      <c r="E18" s="31" t="inlineStr">
        <is>
          <t>—</t>
        </is>
      </c>
      <c r="F18" s="31" t="inlineStr">
        <is>
          <t>out of scope</t>
        </is>
      </c>
      <c r="G18" s="31" t="inlineStr">
        <is>
          <t>—</t>
        </is>
      </c>
      <c r="H18" s="31" t="inlineStr">
        <is>
          <t>—</t>
        </is>
      </c>
      <c r="I18" s="31" t="inlineStr">
        <is>
          <t>—</t>
        </is>
      </c>
      <c r="J18" s="31" t="inlineStr">
        <is>
          <t>—</t>
        </is>
      </c>
      <c r="K18" s="31" t="inlineStr">
        <is>
          <t>no FireWire stack (U-6)</t>
        </is>
      </c>
      <c r="L18" s="31" t="inlineStr">
        <is>
          <t>—</t>
        </is>
      </c>
      <c r="M18" s="31" t="inlineStr">
        <is>
          <t>—</t>
        </is>
      </c>
      <c r="N18" s="31" t="inlineStr">
        <is>
          <t>—</t>
        </is>
      </c>
      <c r="O18" s="31" t="inlineStr">
        <is>
          <t>—</t>
        </is>
      </c>
      <c r="P18" s="31" t="inlineStr">
        <is>
          <t>Unverified (macfw statement)</t>
        </is>
      </c>
      <c r="Q18" s="31" t="inlineStr">
        <is>
          <t>U-6</t>
        </is>
      </c>
    </row>
  </sheetData>
  <autoFilter ref="A1:Q18"/>
  <conditionalFormatting sqref="P2:P18">
    <cfRule type="expression" rank="0" priority="2" equalAverage="0" aboveAverage="0" dxfId="8" text="" percent="0" bottom="0">
      <formula>LEFT($P2,8)="Verified"</formula>
    </cfRule>
    <cfRule type="expression" rank="0" priority="3" equalAverage="0" aboveAverage="0" dxfId="9" text="" percent="0" bottom="0">
      <formula>LEFT($P2,6)="Partly"</formula>
    </cfRule>
    <cfRule type="expression" rank="0" priority="4" equalAverage="0" aboveAverage="0" dxfId="9" text="" percent="0" bottom="0">
      <formula>LEFT($P2,8)="Families"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4" customWidth="1" style="22" min="1" max="1"/>
    <col width="34" customWidth="1" style="22" min="2" max="2"/>
    <col width="24" customWidth="1" style="22" min="3" max="3"/>
    <col width="18" customWidth="1" style="22" min="4" max="4"/>
    <col width="22" customWidth="1" style="22" min="5" max="5"/>
    <col width="30" customWidth="1" style="22" min="6" max="6"/>
    <col width="26" customWidth="1" style="22" min="7" max="7"/>
  </cols>
  <sheetData>
    <row r="1" ht="15" customHeight="1" s="23">
      <c r="A1" s="29" t="inlineStr">
        <is>
          <t>Feature</t>
        </is>
      </c>
      <c r="B1" s="29" t="inlineStr">
        <is>
          <t>10.6.8-10.8.5 (L)</t>
        </is>
      </c>
      <c r="C1" s="29" t="inlineStr">
        <is>
          <t>10.9-10.12 (M)</t>
        </is>
      </c>
      <c r="D1" s="29" t="inlineStr">
        <is>
          <t>10.14-10.15 (M)</t>
        </is>
      </c>
      <c r="E1" s="29" t="inlineStr">
        <is>
          <t>11-15 Intel (M11)</t>
        </is>
      </c>
      <c r="F1" s="29" t="inlineStr">
        <is>
          <t>11-15 Apple Silicon (AS)</t>
        </is>
      </c>
      <c r="G1" s="29" t="inlineStr">
        <is>
          <t>Evidence / settle by</t>
        </is>
      </c>
    </row>
    <row r="2" ht="23.85" customHeight="1" s="23">
      <c r="A2" s="31" t="inlineStr">
        <is>
          <t>Audio I/O, all rates 44.1-192 kHz, S/PDIF / ADAT / S/MUX</t>
        </is>
      </c>
      <c r="B2" s="31" t="inlineStr">
        <is>
          <t>Same (v1.9 does it on 10.6.8; ours unverified)</t>
        </is>
      </c>
      <c r="C2" s="31" t="inlineStr">
        <is>
          <t>Same (unverified)</t>
        </is>
      </c>
      <c r="D2" s="31" t="inlineStr">
        <is>
          <t>Same (unverified)</t>
        </is>
      </c>
      <c r="E2" s="31" t="inlineStr">
        <is>
          <t>Same (unverified)</t>
        </is>
      </c>
      <c r="F2" s="31" t="inlineStr">
        <is>
          <t>unverified</t>
        </is>
      </c>
      <c r="G2" s="31" t="inlineStr">
        <is>
          <t>U-10, U-11, U-13, U-14</t>
        </is>
      </c>
    </row>
    <row r="3" ht="15" customHeight="1" s="23">
      <c r="A3" s="31" t="inlineStr">
        <is>
          <t>32-bit kernel (K32) Macs</t>
        </is>
      </c>
      <c r="B3" s="31" t="inlineStr">
        <is>
          <t>needs the i386 slice (DEC-2)</t>
        </is>
      </c>
      <c r="C3" s="31" t="inlineStr">
        <is>
          <t>n/a</t>
        </is>
      </c>
      <c r="D3" s="31" t="inlineStr">
        <is>
          <t>n/a</t>
        </is>
      </c>
      <c r="E3" s="31" t="inlineStr">
        <is>
          <t>n/a</t>
        </is>
      </c>
      <c r="F3" s="31" t="inlineStr">
        <is>
          <t>n/a</t>
        </is>
      </c>
      <c r="G3" s="31" t="inlineStr">
        <is>
          <t>U-1</t>
        </is>
      </c>
    </row>
    <row r="4" ht="15" customHeight="1" s="23">
      <c r="A4" s="31" t="inlineStr">
        <is>
          <t>Mixer, routing, levels, encoders, helper settings replay</t>
        </is>
      </c>
      <c r="B4" s="31" t="inlineStr">
        <is>
          <t>Same</t>
        </is>
      </c>
      <c r="C4" s="31" t="inlineStr">
        <is>
          <t>Same</t>
        </is>
      </c>
      <c r="D4" s="31" t="inlineStr">
        <is>
          <t>Same</t>
        </is>
      </c>
      <c r="E4" s="31" t="inlineStr">
        <is>
          <t>Same</t>
        </is>
      </c>
      <c r="F4" s="31" t="inlineStr">
        <is>
          <t>unverified</t>
        </is>
      </c>
      <c r="G4" s="31" t="inlineStr">
        <is>
          <t>E-14</t>
        </is>
      </c>
    </row>
    <row r="5" ht="15" customHeight="1" s="23">
      <c r="A5" s="31" t="inlineStr">
        <is>
          <t>Meters (shared 4 KiB page)</t>
        </is>
      </c>
      <c r="B5" s="31" t="inlineStr">
        <is>
          <t>Same</t>
        </is>
      </c>
      <c r="C5" s="31" t="inlineStr">
        <is>
          <t>Same</t>
        </is>
      </c>
      <c r="D5" s="31" t="inlineStr">
        <is>
          <t>Same</t>
        </is>
      </c>
      <c r="E5" s="31" t="inlineStr">
        <is>
          <t>Same</t>
        </is>
      </c>
      <c r="F5" s="31" t="inlineStr">
        <is>
          <t>16 KiB page review</t>
        </is>
      </c>
      <c r="G5" s="31" t="inlineStr">
        <is>
          <t>U-14, BC-1.4</t>
        </is>
      </c>
    </row>
    <row r="6" ht="15" customHeight="1" s="23">
      <c r="A6" s="31" t="inlineStr">
        <is>
          <t>MIDI in/out</t>
        </is>
      </c>
      <c r="B6" s="31" t="inlineStr">
        <is>
          <t>Same if U-7 holds, else clone</t>
        </is>
      </c>
      <c r="C6" s="31" t="inlineStr">
        <is>
          <t>Same</t>
        </is>
      </c>
      <c r="D6" s="31" t="inlineStr">
        <is>
          <t>Same</t>
        </is>
      </c>
      <c r="E6" s="31" t="inlineStr">
        <is>
          <t>Same (U-8)</t>
        </is>
      </c>
      <c r="F6" s="31" t="inlineStr">
        <is>
          <t>LOST unless the clone exists</t>
        </is>
      </c>
      <c r="G6" s="31" t="inlineStr">
        <is>
          <t>U-7, U-9, DEC-8</t>
        </is>
      </c>
    </row>
    <row r="7" ht="15" customHeight="1" s="23">
      <c r="A7" s="31" t="inlineStr">
        <is>
          <t>Control panel</t>
        </is>
      </c>
      <c r="B7" s="31" t="inlineStr">
        <is>
          <t>LOST if DEC-4 = c; = with the Obj-C port</t>
        </is>
      </c>
      <c r="C7" s="31" t="inlineStr">
        <is>
          <t>Same (fallbacks, E-11)</t>
        </is>
      </c>
      <c r="D7" s="31" t="inlineStr">
        <is>
          <t>Same</t>
        </is>
      </c>
      <c r="E7" s="31" t="inlineStr">
        <is>
          <t>Same (E-10, demo)</t>
        </is>
      </c>
      <c r="F7" s="31" t="inlineStr">
        <is>
          <t>Same with arm64 slice</t>
        </is>
      </c>
      <c r="G7" s="31" t="inlineStr">
        <is>
          <t>E-10, E-11</t>
        </is>
      </c>
    </row>
    <row r="8" ht="15" customHeight="1" s="23">
      <c r="A8" s="31" t="inlineStr">
        <is>
          <t>Panel: dark vibrant title bar</t>
        </is>
      </c>
      <c r="B8" s="31" t="inlineStr">
        <is>
          <t>lost (10.10+)</t>
        </is>
      </c>
      <c r="C8" s="31" t="inlineStr">
        <is>
          <t>lost on 10.9</t>
        </is>
      </c>
      <c r="D8" s="31" t="inlineStr">
        <is>
          <t>Same</t>
        </is>
      </c>
      <c r="E8" s="31" t="inlineStr">
        <is>
          <t>Same</t>
        </is>
      </c>
      <c r="F8" s="31" t="inlineStr">
        <is>
          <t>Same</t>
        </is>
      </c>
      <c r="G8" s="31" t="inlineStr">
        <is>
          <t>E-11</t>
        </is>
      </c>
    </row>
    <row r="9" ht="15" customHeight="1" s="23">
      <c r="A9" s="31" t="inlineStr">
        <is>
          <t>Panel: tabular-digit system font</t>
        </is>
      </c>
      <c r="B9" s="31" t="inlineStr">
        <is>
          <t>fallback</t>
        </is>
      </c>
      <c r="C9" s="31" t="inlineStr">
        <is>
          <t>fallback on 10.9-10.10</t>
        </is>
      </c>
      <c r="D9" s="31" t="inlineStr">
        <is>
          <t>Same</t>
        </is>
      </c>
      <c r="E9" s="31" t="inlineStr">
        <is>
          <t>Same</t>
        </is>
      </c>
      <c r="F9" s="31" t="inlineStr">
        <is>
          <t>Same</t>
        </is>
      </c>
      <c r="G9" s="31" t="inlineStr">
        <is>
          <t>E-11</t>
        </is>
      </c>
    </row>
    <row r="10" ht="15" customHeight="1" s="23">
      <c r="A10" s="31" t="inlineStr">
        <is>
          <t>Panel: GPU-only meter updates</t>
        </is>
      </c>
      <c r="B10" s="31" t="inlineStr">
        <is>
          <t>fallback on 10.6-10.7 (CPU drawing)</t>
        </is>
      </c>
      <c r="C10" s="31" t="inlineStr">
        <is>
          <t>Same</t>
        </is>
      </c>
      <c r="D10" s="31" t="inlineStr">
        <is>
          <t>Same</t>
        </is>
      </c>
      <c r="E10" s="31" t="inlineStr">
        <is>
          <t>Same</t>
        </is>
      </c>
      <c r="F10" s="31" t="inlineStr">
        <is>
          <t>Same</t>
        </is>
      </c>
      <c r="G10" s="31" t="inlineStr">
        <is>
          <t>wantsUpdateLayer 10.8+</t>
        </is>
      </c>
    </row>
    <row r="11" ht="15" customHeight="1" s="23">
      <c r="A11" s="31" t="inlineStr">
        <is>
          <t>Panel: Retina</t>
        </is>
      </c>
      <c r="B11" s="31" t="inlineStr">
        <is>
          <t>lost on 10.6 (10.7.3+)</t>
        </is>
      </c>
      <c r="C11" s="31" t="inlineStr">
        <is>
          <t>Same</t>
        </is>
      </c>
      <c r="D11" s="31" t="inlineStr">
        <is>
          <t>Same</t>
        </is>
      </c>
      <c r="E11" s="31" t="inlineStr">
        <is>
          <t>Same</t>
        </is>
      </c>
      <c r="F11" s="31" t="inlineStr">
        <is>
          <t>Same</t>
        </is>
      </c>
      <c r="G11" s="31" t="inlineStr">
        <is>
          <t>recalled</t>
        </is>
      </c>
    </row>
    <row r="12" ht="15" customHeight="1" s="23">
      <c r="A12" s="31" t="inlineStr">
        <is>
          <t>Panel: Big Meter full screen</t>
        </is>
      </c>
      <c r="B12" s="31" t="inlineStr">
        <is>
          <t>lost on 10.6 (10.7+)</t>
        </is>
      </c>
      <c r="C12" s="31" t="inlineStr">
        <is>
          <t>Same</t>
        </is>
      </c>
      <c r="D12" s="31" t="inlineStr">
        <is>
          <t>Same</t>
        </is>
      </c>
      <c r="E12" s="31" t="inlineStr">
        <is>
          <t>Same</t>
        </is>
      </c>
      <c r="F12" s="31" t="inlineStr">
        <is>
          <t>Same</t>
        </is>
      </c>
      <c r="G12" s="31" t="inlineStr">
        <is>
          <t>recalled</t>
        </is>
      </c>
    </row>
    <row r="13" ht="15" customHeight="1" s="23">
      <c r="A13" s="31" t="inlineStr">
        <is>
          <t>Status menu, launch at login</t>
        </is>
      </c>
      <c r="B13" s="31" t="inlineStr">
        <is>
          <t>fallback (legacy NSStatusItem API)</t>
        </is>
      </c>
      <c r="C13" s="31" t="inlineStr">
        <is>
          <t>fallback on 10.9</t>
        </is>
      </c>
      <c r="D13" s="31" t="inlineStr">
        <is>
          <t>Same</t>
        </is>
      </c>
      <c r="E13" s="31" t="inlineStr">
        <is>
          <t>Same</t>
        </is>
      </c>
      <c r="F13" s="31" t="inlineStr">
        <is>
          <t>Same</t>
        </is>
      </c>
      <c r="G13" s="31" t="inlineStr">
        <is>
          <t>E-11</t>
        </is>
      </c>
    </row>
    <row r="14" ht="15" customHeight="1" s="23">
      <c r="A14" s="31" t="inlineStr">
        <is>
          <t>CoreAudio listeners</t>
        </is>
      </c>
      <c r="B14" s="31" t="inlineStr">
        <is>
          <t>fallback on 10.6 (C callbacks)</t>
        </is>
      </c>
      <c r="C14" s="31" t="inlineStr">
        <is>
          <t>Same</t>
        </is>
      </c>
      <c r="D14" s="31" t="inlineStr">
        <is>
          <t>Same</t>
        </is>
      </c>
      <c r="E14" s="31" t="inlineStr">
        <is>
          <t>Same</t>
        </is>
      </c>
      <c r="F14" s="31" t="inlineStr">
        <is>
          <t>Same</t>
        </is>
      </c>
      <c r="G14" s="31" t="inlineStr">
        <is>
          <t>AudioHardware.h:397 (10.7)</t>
        </is>
      </c>
    </row>
    <row r="15" ht="15" customHeight="1" s="23">
      <c r="A15" s="31" t="inlineStr">
        <is>
          <t>Firmware check window (read-only)</t>
        </is>
      </c>
      <c r="B15" s="31" t="inlineStr">
        <is>
          <t>Same with the port</t>
        </is>
      </c>
      <c r="C15" s="31" t="inlineStr">
        <is>
          <t>Same</t>
        </is>
      </c>
      <c r="D15" s="31" t="inlineStr">
        <is>
          <t>Same</t>
        </is>
      </c>
      <c r="E15" s="31" t="inlineStr">
        <is>
          <t>Same</t>
        </is>
      </c>
      <c r="F15" s="31" t="inlineStr">
        <is>
          <t>Same</t>
        </is>
      </c>
      <c r="G15" s="31" t="n"/>
    </row>
    <row r="16" ht="15" customHeight="1" s="23">
      <c r="A16" s="31" t="inlineStr">
        <is>
          <t>Uninstall app</t>
        </is>
      </c>
      <c r="B16" s="31" t="inlineStr">
        <is>
          <t>needs a port</t>
        </is>
      </c>
      <c r="C16" s="31" t="inlineStr">
        <is>
          <t>fallbacks</t>
        </is>
      </c>
      <c r="D16" s="31" t="inlineStr">
        <is>
          <t>Same</t>
        </is>
      </c>
      <c r="E16" s="31" t="inlineStr">
        <is>
          <t>Same</t>
        </is>
      </c>
      <c r="F16" s="31" t="inlineStr">
        <is>
          <t>arm64 slice or Rosetta</t>
        </is>
      </c>
      <c r="G16" s="31" t="inlineStr">
        <is>
          <t>E-11</t>
        </is>
      </c>
    </row>
    <row r="17" ht="23.85" customHeight="1" s="23">
      <c r="A17" s="31" t="inlineStr">
        <is>
          <t>Install steps</t>
        </is>
      </c>
      <c r="B17" s="31" t="inlineStr">
        <is>
          <t>kext in /System/Library/Extensions; no prerequisite</t>
        </is>
      </c>
      <c r="C17" s="31" t="inlineStr">
        <is>
          <t>10.10 boot-arg; 10.11+ SIP off</t>
        </is>
      </c>
      <c r="D17" s="31" t="inlineStr">
        <is>
          <t>SIP off</t>
        </is>
      </c>
      <c r="E17" s="31" t="inlineStr">
        <is>
          <t>SIP off + approval + restart</t>
        </is>
      </c>
      <c r="F17" s="31" t="inlineStr">
        <is>
          <t>Permissive Security + approval + restart</t>
        </is>
      </c>
      <c r="G17" s="31" t="inlineStr">
        <is>
          <t>U-2, U-3</t>
        </is>
      </c>
    </row>
  </sheetData>
  <autoFilter ref="A1:G17"/>
  <conditionalFormatting sqref="B2:F17">
    <cfRule type="expression" rank="0" priority="2" equalAverage="0" aboveAverage="0" dxfId="11" text="" percent="0" bottom="0">
      <formula>ISNUMBER(SEARCH("lost",B2))</formula>
    </cfRule>
    <cfRule type="expression" rank="0" priority="3" equalAverage="0" aboveAverage="0" dxfId="8" text="" percent="0" bottom="0">
      <formula>LEFT(B2,4)="Same"</formula>
    </cfRule>
    <cfRule type="expression" rank="0" priority="4" equalAverage="0" aboveAverage="0" dxfId="10" text="" percent="0" bottom="0">
      <formula>ISNUMBER(SEARCH("fallback",B2))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0" customWidth="1" style="22" min="1" max="1"/>
    <col width="30" customWidth="1" style="22" min="2" max="3"/>
    <col width="28" customWidth="1" style="22" min="4" max="4"/>
    <col width="24" customWidth="1" style="22" min="5" max="5"/>
    <col width="30" customWidth="1" style="22" min="6" max="6"/>
    <col width="28" customWidth="1" style="22" min="7" max="7"/>
    <col width="26" customWidth="1" style="22" min="8" max="8"/>
  </cols>
  <sheetData>
    <row r="1" ht="15" customHeight="1" s="23">
      <c r="A1" s="29" t="inlineStr">
        <is>
          <t>Component</t>
        </is>
      </c>
      <c r="B1" s="29" t="inlineStr">
        <is>
          <t>Today (0.2.2)</t>
        </is>
      </c>
      <c r="C1" s="29" t="inlineStr">
        <is>
          <t>Band L (10.6.8-10.8.5)</t>
        </is>
      </c>
      <c r="D1" s="29" t="inlineStr">
        <is>
          <t>Band M (10.9-10.15)</t>
        </is>
      </c>
      <c r="E1" s="29" t="inlineStr">
        <is>
          <t>Band M11 (11-15 Intel)</t>
        </is>
      </c>
      <c r="F1" s="29" t="inlineStr">
        <is>
          <t>Band AS (11-15 Apple Silicon)</t>
        </is>
      </c>
      <c r="G1" s="29" t="inlineStr">
        <is>
          <t>Builds needed</t>
        </is>
      </c>
      <c r="H1" s="29" t="inlineStr">
        <is>
          <t>Tasks</t>
        </is>
      </c>
    </row>
    <row r="2" ht="23.85" customHeight="1" s="23">
      <c r="A2" s="31" t="inlineStr">
        <is>
          <t>Kernel extension</t>
        </is>
      </c>
      <c r="B2" s="31" t="inlineStr">
        <is>
          <t>x86_64, Xcode 9.4.1, 10.13 SDK, min 10.13 (E-9)</t>
        </is>
      </c>
      <c r="C2" s="31" t="inlineStr">
        <is>
          <t>Legacy build: i386 + x86_64, 10.6 SDK</t>
        </is>
      </c>
      <c r="D2" s="31" t="inlineStr">
        <is>
          <t>Main x86_64 (10.13 SDK) + BC-3.2</t>
        </is>
      </c>
      <c r="E2" s="31" t="inlineStr">
        <is>
          <t>same Main x86_64 slice (U-11)</t>
        </is>
      </c>
      <c r="F2" s="31" t="inlineStr">
        <is>
          <t>arm64e slice in the Main file, 15 SDK, + BC-3.5</t>
        </is>
      </c>
      <c r="G2" s="31" t="inlineStr">
        <is>
          <t>2 (Legacy, Main); 1 if U-12 holds; 3 if BC-3.3 fails</t>
        </is>
      </c>
      <c r="H2" s="31" t="inlineStr">
        <is>
          <t>BC-1.1/1.3/1.4/1.5, BC-2.x, BC-3.x</t>
        </is>
      </c>
    </row>
    <row r="3" ht="15" customHeight="1" s="23">
      <c r="A3" s="31" t="inlineStr">
        <is>
          <t>Helper daemon (C)</t>
        </is>
      </c>
      <c r="B3" s="31" t="inlineStr">
        <is>
          <t>x86_64, min 10.13</t>
        </is>
      </c>
      <c r="C3" s="31" t="inlineStr">
        <is>
          <t>i386 + x86_64 slice, min 10.6</t>
        </is>
      </c>
      <c r="D3" s="31" t="inlineStr">
        <is>
          <t>same</t>
        </is>
      </c>
      <c r="E3" s="31" t="inlineStr">
        <is>
          <t>same</t>
        </is>
      </c>
      <c r="F3" s="31" t="inlineStr">
        <is>
          <t>arm64 slice, min 11</t>
        </is>
      </c>
      <c r="G3" s="31" t="inlineStr">
        <is>
          <t>1 universal binary</t>
        </is>
      </c>
      <c r="H3" s="31" t="inlineStr">
        <is>
          <t>BC-4.1</t>
        </is>
      </c>
    </row>
    <row r="4" ht="23.85" customHeight="1" s="23">
      <c r="A4" s="31" t="inlineStr">
        <is>
          <t>Control panel</t>
        </is>
      </c>
      <c r="B4" s="31" t="inlineStr">
        <is>
          <t>Swift 4.1, x86_64, bundled runtime, min 10.13</t>
        </is>
      </c>
      <c r="C4" s="31" t="inlineStr">
        <is>
          <t>Obj-C port (DEC-4 a) or none</t>
        </is>
      </c>
      <c r="D4" s="31" t="inlineStr">
        <is>
          <t>Swift min 10.9 (BC-4.2) or the Obj-C port</t>
        </is>
      </c>
      <c r="E4" s="31" t="inlineStr">
        <is>
          <t>same</t>
        </is>
      </c>
      <c r="F4" s="31" t="inlineStr">
        <is>
          <t>arm64 slice (Swift 5) or the Obj-C port</t>
        </is>
      </c>
      <c r="G4" s="31" t="inlineStr">
        <is>
          <t>1 (Obj-C port) or 1 Swift universal + nothing on L</t>
        </is>
      </c>
      <c r="H4" s="31" t="inlineStr">
        <is>
          <t>BC-4.2, BC-4.3, BC-4.4</t>
        </is>
      </c>
    </row>
    <row r="5" ht="15" customHeight="1" s="23">
      <c r="A5" s="31" t="inlineStr">
        <is>
          <t>Uninstall app</t>
        </is>
      </c>
      <c r="B5" s="31" t="inlineStr">
        <is>
          <t>Swift 4.1, x86_64</t>
        </is>
      </c>
      <c r="C5" s="31" t="inlineStr">
        <is>
          <t>Obj-C / AppleScript</t>
        </is>
      </c>
      <c r="D5" s="31" t="inlineStr">
        <is>
          <t>Swift min 10.9</t>
        </is>
      </c>
      <c r="E5" s="31" t="inlineStr">
        <is>
          <t>same</t>
        </is>
      </c>
      <c r="F5" s="31" t="inlineStr">
        <is>
          <t>arm64 slice</t>
        </is>
      </c>
      <c r="G5" s="31" t="inlineStr">
        <is>
          <t>1-2</t>
        </is>
      </c>
      <c r="H5" s="31" t="inlineStr">
        <is>
          <t>BC-4.2, BC-4.3, BC-4.5</t>
        </is>
      </c>
    </row>
    <row r="6" ht="23.85" customHeight="1" s="23">
      <c r="A6" s="31" t="inlineStr">
        <is>
          <t>CoreMIDI plug-in</t>
        </is>
      </c>
      <c r="B6" s="31" t="inlineStr">
        <is>
          <t>M-Audio 1.11.2 original, x86_64 + i386, min 10.7 (E-12)</t>
        </is>
      </c>
      <c r="C6" s="31" t="inlineStr">
        <is>
          <t>original if U-7 holds, else clone</t>
        </is>
      </c>
      <c r="D6" s="31" t="inlineStr">
        <is>
          <t>original</t>
        </is>
      </c>
      <c r="E6" s="31" t="inlineStr">
        <is>
          <t>original (U-8)</t>
        </is>
      </c>
      <c r="F6" s="31" t="inlineStr">
        <is>
          <t>clone (DEC-8)</t>
        </is>
      </c>
      <c r="G6" s="31" t="inlineStr">
        <is>
          <t>1 (original) + 1 (clone) if AS</t>
        </is>
      </c>
      <c r="H6" s="31" t="inlineStr">
        <is>
          <t>BC-4.6, BC-4.7</t>
        </is>
      </c>
    </row>
    <row r="7" ht="23.85" customHeight="1" s="23">
      <c r="A7" s="31" t="inlineStr">
        <is>
          <t>Installer package</t>
        </is>
      </c>
      <c r="B7" s="31" t="inlineStr">
        <is>
          <t>min 10.13, hostArchitectures x86_64 (E-9)</t>
        </is>
      </c>
      <c r="C7" s="31" t="inlineStr">
        <is>
          <t>choice: Legacy kext -&gt; /System/Library/Extensions</t>
        </is>
      </c>
      <c r="D7" s="31" t="inlineStr">
        <is>
          <t>choice: Main kext -&gt; /Library/Extensions</t>
        </is>
      </c>
      <c r="E7" s="31" t="inlineStr">
        <is>
          <t>same + kmutil message</t>
        </is>
      </c>
      <c r="F7" s="31" t="inlineStr">
        <is>
          <t>same + Permissive Security text</t>
        </is>
      </c>
      <c r="G7" s="31" t="inlineStr">
        <is>
          <t>1 package (Option A)</t>
        </is>
      </c>
      <c r="H7" s="31" t="inlineStr">
        <is>
          <t>BC-5.x</t>
        </is>
      </c>
    </row>
    <row r="8" ht="15" customHeight="1" s="23">
      <c r="A8" s="31" t="inlineStr">
        <is>
          <t>Disk image</t>
        </is>
      </c>
      <c r="B8" s="31" t="inlineStr">
        <is>
          <t>UDZO + HFS+ (E-15)</t>
        </is>
      </c>
      <c r="C8" s="31" t="inlineStr">
        <is>
          <t>opens on 10.6</t>
        </is>
      </c>
      <c r="D8" s="31" t="inlineStr">
        <is>
          <t>same</t>
        </is>
      </c>
      <c r="E8" s="31" t="inlineStr">
        <is>
          <t>same</t>
        </is>
      </c>
      <c r="F8" s="31" t="inlineStr">
        <is>
          <t>same</t>
        </is>
      </c>
      <c r="G8" s="31" t="inlineStr">
        <is>
          <t>1</t>
        </is>
      </c>
      <c r="H8" s="31" t="inlineStr">
        <is>
          <t>—</t>
        </is>
      </c>
    </row>
    <row r="9" ht="23.85" customHeight="1" s="23">
      <c r="A9" s="31" t="inlineStr">
        <is>
          <t>Bench tools (not shipped)</t>
        </is>
      </c>
      <c r="B9" s="31" t="inlineStr">
        <is>
          <t>C, x86_64</t>
        </is>
      </c>
      <c r="C9" s="31" t="inlineStr">
        <is>
          <t>rebuild per band only when needed</t>
        </is>
      </c>
      <c r="D9" s="31" t="inlineStr">
        <is>
          <t>same</t>
        </is>
      </c>
      <c r="E9" s="31" t="inlineStr">
        <is>
          <t>same</t>
        </is>
      </c>
      <c r="F9" s="31" t="inlineStr">
        <is>
          <t>arm64 if needed</t>
        </is>
      </c>
      <c r="G9" s="31" t="inlineStr">
        <is>
          <t>on demand</t>
        </is>
      </c>
      <c r="H9" s="31" t="inlineStr">
        <is>
          <t>—</t>
        </is>
      </c>
    </row>
  </sheetData>
  <autoFilter ref="A1:H9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7" customWidth="1" style="22" min="1" max="1"/>
    <col width="11" customWidth="1" style="22" min="2" max="2"/>
    <col width="64" customWidth="1" style="22" min="3" max="3"/>
    <col width="36" customWidth="1" style="22" min="4" max="4"/>
    <col width="40" customWidth="1" style="22" min="5" max="5"/>
    <col width="11" customWidth="1" style="22" min="6" max="6"/>
    <col width="20" customWidth="1" style="22" min="7" max="7"/>
  </cols>
  <sheetData>
    <row r="1" ht="15" customHeight="1" s="23">
      <c r="A1" s="29" t="inlineStr">
        <is>
          <t>ID</t>
        </is>
      </c>
      <c r="B1" s="29" t="inlineStr">
        <is>
          <t>Kind</t>
        </is>
      </c>
      <c r="C1" s="29" t="inlineStr">
        <is>
          <t>Statement</t>
        </is>
      </c>
      <c r="D1" s="29" t="inlineStr">
        <is>
          <t>How checked / how to settle</t>
        </is>
      </c>
      <c r="E1" s="29" t="inlineStr">
        <is>
          <t>File or source</t>
        </is>
      </c>
      <c r="F1" s="29" t="inlineStr">
        <is>
          <t>Date</t>
        </is>
      </c>
      <c r="G1" s="29" t="inlineStr">
        <is>
          <t>Feeds</t>
        </is>
      </c>
    </row>
    <row r="2" ht="35.05" customHeight="1" s="23">
      <c r="A2" s="31" t="inlineStr">
        <is>
          <t>E-1</t>
        </is>
      </c>
      <c r="B2" s="31" t="inlineStr">
        <is>
          <t>Checked</t>
        </is>
      </c>
      <c r="C2" s="31" t="inlineStr">
        <is>
          <t>0.2.2 kext imports 777 symbols; 28 imported by no reference build, incl. _IOLockSleep_darwin14, _IOLockWakeup_darwin14, IOService::configureReport/updateReport, ___memmove_chk, ___strlcat_chk</t>
        </is>
      </c>
      <c r="D2" s="31" t="inlineStr">
        <is>
          <t>nm -u of the 0.2.2 payload and of v1.9 / v1.10.5 / v1.11.3</t>
        </is>
      </c>
      <c r="E2" s="31" t="inlineStr">
        <is>
          <t>evidence/kext-0.2.2-imports*.txt</t>
        </is>
      </c>
      <c r="F2" s="31" t="inlineStr">
        <is>
          <t>2026-10-21</t>
        </is>
      </c>
      <c r="G2" s="31" t="inlineStr">
        <is>
          <t>§1, BC-1.1, BC-3.2</t>
        </is>
      </c>
    </row>
    <row r="3" ht="23.85" customHeight="1" s="23">
      <c r="A3" s="31" t="inlineStr">
        <is>
          <t>E-2</t>
        </is>
      </c>
      <c r="B3" s="31" t="inlineStr">
        <is>
          <t>Checked</t>
        </is>
      </c>
      <c r="C3" s="31" t="inlineStr">
        <is>
          <t>Modern SDKs alias IOLockSleep / IOLockSleepDeadline / IOLockWakeup to _darwin14 names on x86_64 regardless of deployment target</t>
        </is>
      </c>
      <c r="D3" s="31" t="inlineStr">
        <is>
          <t>Read the SDK headers</t>
        </is>
      </c>
      <c r="E3" s="31" t="inlineStr">
        <is>
          <t>MacOSX13.3.sdk sys/cdefs.h:514-519; IOKit/IOLocks.h:129,132,134</t>
        </is>
      </c>
      <c r="F3" s="31" t="inlineStr">
        <is>
          <t>2026-10-21</t>
        </is>
      </c>
      <c r="G3" s="31" t="inlineStr">
        <is>
          <t>BC-3.2</t>
        </is>
      </c>
    </row>
    <row r="4" ht="35.05" customHeight="1" s="23">
      <c r="A4" s="31" t="inlineStr">
        <is>
          <t>E-3</t>
        </is>
      </c>
      <c r="B4" s="31" t="inlineStr">
        <is>
          <t>Checked</t>
        </is>
      </c>
      <c r="C4" s="31" t="inlineStr">
        <is>
          <t>10.13.6 KPI symbol sets export both plain and _darwin14 lock names, ___memmove_chk, ___strlcat_chk, _version_major, _kernel_thread_start, _thread_call_allocate, _IOCreateThread</t>
        </is>
      </c>
      <c r="D4" s="31" t="inlineStr">
        <is>
          <t>read-only nm on the build PC</t>
        </is>
      </c>
      <c r="E4" s="31" t="inlineStr">
        <is>
          <t>evidence/buildpc-10.13.6-kpi-exports.txt</t>
        </is>
      </c>
      <c r="F4" s="31" t="inlineStr">
        <is>
          <t>2026-10-21</t>
        </is>
      </c>
      <c r="G4" s="31" t="inlineStr">
        <is>
          <t>BC-3.1, BC-3.2</t>
        </is>
      </c>
    </row>
    <row r="5" ht="35.05" customHeight="1" s="23">
      <c r="A5" s="31" t="inlineStr">
        <is>
          <t>E-4</t>
        </is>
      </c>
      <c r="B5" s="31" t="inlineStr">
        <is>
          <t>Checked</t>
        </is>
      </c>
      <c r="C5" s="31" t="inlineStr">
        <is>
          <t>macOS 14.8.4 Intel: all but 2 of 777 imports defined; missing IOAudioEngine::_RESERVEDIOAudioEngine15/16 (now calculateSampleTimeoutHiRes / useHiResSampleInterval)</t>
        </is>
      </c>
      <c r="D5" s="31" t="inlineStr">
        <is>
          <t>KDK 14.8.4 kernel + family dSYMs; 15.2 SDK IOAudioEngine.h:389,403,431-432</t>
        </is>
      </c>
      <c r="E5" s="31" t="inlineStr">
        <is>
          <t>evidence/kext-0.2.2-vs-macos-14.8.4-x86_64.txt</t>
        </is>
      </c>
      <c r="F5" s="31" t="inlineStr">
        <is>
          <t>2026-10-21</t>
        </is>
      </c>
      <c r="G5" s="31" t="inlineStr">
        <is>
          <t>BC-3.3, U-11</t>
        </is>
      </c>
    </row>
    <row r="6" ht="35.05" customHeight="1" s="23">
      <c r="A6" s="31" t="inlineStr">
        <is>
          <t>E-5</t>
        </is>
      </c>
      <c r="B6" s="31" t="inlineStr">
        <is>
          <t>Checked</t>
        </is>
      </c>
      <c r="C6" s="31" t="inlineStr">
        <is>
          <t>IOFireWireFamily, IOFireWireAVC, IOAudioFamily, IOFireWireSBP2 built for arm64e; Apple Silicon kernelcache manifests list them + AppleFWOHCI; arm64e IOFireWireFamily defines createLocalIsochPort (classic DCL)</t>
        </is>
      </c>
      <c r="D6" s="31" t="inlineStr">
        <is>
          <t>KDK 14.8.4 dSYM lipo -archs; manifests; nm</t>
        </is>
      </c>
      <c r="E6" s="31" t="inlineStr">
        <is>
          <t>evidence/kdk-14.8.4-families-arm64e.txt</t>
        </is>
      </c>
      <c r="F6" s="31" t="inlineStr">
        <is>
          <t>2026-10-21</t>
        </is>
      </c>
      <c r="G6" s="31" t="inlineStr">
        <is>
          <t>DEC-3, BC-3.5</t>
        </is>
      </c>
    </row>
    <row r="7" ht="23.85" customHeight="1" s="23">
      <c r="A7" s="31" t="inlineStr">
        <is>
          <t>E-6</t>
        </is>
      </c>
      <c r="B7" s="31" t="inlineStr">
        <is>
          <t>Checked</t>
        </is>
      </c>
      <c r="C7" s="31" t="inlineStr">
        <is>
          <t>ARM-only pure virtual IOAudioEngine::driverDesiresHiResSampleIntervals() must be implemented by ARM subclasses</t>
        </is>
      </c>
      <c r="D7" s="31" t="inlineStr">
        <is>
          <t>Read the SDK header</t>
        </is>
      </c>
      <c r="E7" s="31" t="inlineStr">
        <is>
          <t>MacOSX15.2.sdk IOKit/audio/IOAudioEngine.h:928-943</t>
        </is>
      </c>
      <c r="F7" s="31" t="inlineStr">
        <is>
          <t>2026-10-21</t>
        </is>
      </c>
      <c r="G7" s="31" t="inlineStr">
        <is>
          <t>BC-3.5</t>
        </is>
      </c>
    </row>
    <row r="8" ht="35.05" customHeight="1" s="23">
      <c r="A8" s="31" t="inlineStr">
        <is>
          <t>E-7</t>
        </is>
      </c>
      <c r="B8" s="31" t="inlineStr">
        <is>
          <t>Checked</t>
        </is>
      </c>
      <c r="C8" s="31" t="inlineStr">
        <is>
          <t>macOS 14.8.9: IOFireWireLib / IOFireWireAVCLib / MIDIServer are x86_64 + arm64e; AppleFWAudio.kext absent; IOAudioFamily 540.3, IOFireWireFamily 4.8.3, IOFireWireAVC 4.2.8</t>
        </is>
      </c>
      <c r="D8" s="31" t="inlineStr">
        <is>
          <t>lipo -archs, Info.plist on the dev Mac</t>
        </is>
      </c>
      <c r="E8" s="31" t="inlineStr">
        <is>
          <t>dev Mac</t>
        </is>
      </c>
      <c r="F8" s="31" t="inlineStr">
        <is>
          <t>2026-10-21</t>
        </is>
      </c>
      <c r="G8" s="31" t="inlineStr">
        <is>
          <t>OS_Matrix</t>
        </is>
      </c>
    </row>
    <row r="9" ht="23.85" customHeight="1" s="23">
      <c r="A9" s="31" t="inlineStr">
        <is>
          <t>E-8</t>
        </is>
      </c>
      <c r="B9" s="31" t="inlineStr">
        <is>
          <t>Checked</t>
        </is>
      </c>
      <c r="C9" s="31" t="inlineStr">
        <is>
          <t>10.13.6: IOAudioFamily 206.5, IOFireWireFamily 4.7.2, IOFireWireAVC 4.2.6; AppleFWAudio.kext present</t>
        </is>
      </c>
      <c r="D9" s="31" t="inlineStr">
        <is>
          <t>read-only on the build PC</t>
        </is>
      </c>
      <c r="E9" s="31" t="inlineStr">
        <is>
          <t>evidence/buildpc-10.13.6-kpi-exports.txt</t>
        </is>
      </c>
      <c r="F9" s="31" t="inlineStr">
        <is>
          <t>2026-10-21</t>
        </is>
      </c>
      <c r="G9" s="31" t="inlineStr">
        <is>
          <t>OS_Matrix</t>
        </is>
      </c>
    </row>
    <row r="10" ht="23.85" customHeight="1" s="23">
      <c r="A10" s="31" t="inlineStr">
        <is>
          <t>E-9</t>
        </is>
      </c>
      <c r="B10" s="31" t="inlineStr">
        <is>
          <t>Checked</t>
        </is>
      </c>
      <c r="C10" s="31" t="inlineStr">
        <is>
          <t>All 0.2.2 binaries x86_64 only; helper/panel LC_VERSION_MIN 10.13; installer min 10.13, hostArchitectures x86_64</t>
        </is>
      </c>
      <c r="D10" s="31" t="inlineStr">
        <is>
          <t>lipo, otool -l; distribution.xml.in:6-7</t>
        </is>
      </c>
      <c r="E10" s="31" t="inlineStr">
        <is>
          <t>dist/OA-BeBoB-MAFW-0.2.2.pkg</t>
        </is>
      </c>
      <c r="F10" s="31" t="inlineStr">
        <is>
          <t>2026-10-21</t>
        </is>
      </c>
      <c r="G10" s="31" t="inlineStr">
        <is>
          <t>BC-2.x, BC-5.1</t>
        </is>
      </c>
    </row>
    <row r="11" ht="23.85" customHeight="1" s="23">
      <c r="A11" s="31" t="inlineStr">
        <is>
          <t>E-10</t>
        </is>
      </c>
      <c r="B11" s="31" t="inlineStr">
        <is>
          <t>Checked</t>
        </is>
      </c>
      <c r="C11" s="31" t="inlineStr">
        <is>
          <t>0.2.2 panel starts and renders 8 demo snapshots on Intel macOS 14.8.9 (demo mode only)</t>
        </is>
      </c>
      <c r="D11" s="31" t="inlineStr">
        <is>
          <t>--demo --snapshot on the dev Mac</t>
        </is>
      </c>
      <c r="E11" s="31" t="inlineStr">
        <is>
          <t>evidence/panel-0.2.2-demo-macos-14.8.9.txt</t>
        </is>
      </c>
      <c r="F11" s="31" t="inlineStr">
        <is>
          <t>2026-10-21</t>
        </is>
      </c>
      <c r="G11" s="31" t="inlineStr">
        <is>
          <t>M11 panel</t>
        </is>
      </c>
    </row>
    <row r="12" ht="35.05" customHeight="1" s="23">
      <c r="A12" s="31" t="inlineStr">
        <is>
          <t>E-11</t>
        </is>
      </c>
      <c r="B12" s="31" t="inlineStr">
        <is>
          <t>Checked</t>
        </is>
      </c>
      <c r="C12" s="31" t="inlineStr">
        <is>
          <t>Panel APIs newer than 10.9: labelWithString 10.12, monospacedDigitSystemFont 10.11, vibrantDark 10.10, NSStatusItem.button 10.10, labelColor 10.10; listener blocks 10.7; Swift floor 10.9</t>
        </is>
      </c>
      <c r="D12" s="31" t="inlineStr">
        <is>
          <t>API_AVAILABLE in the 15.2 SDK headers; grep of Sources/</t>
        </is>
      </c>
      <c r="E12" s="31" t="inlineStr">
        <is>
          <t>Widgets.swift:11, Theme.swift:62,173, StatusMenu.swift:35,105,114</t>
        </is>
      </c>
      <c r="F12" s="31" t="inlineStr">
        <is>
          <t>2026-10-21</t>
        </is>
      </c>
      <c r="G12" s="31" t="inlineStr">
        <is>
          <t>BC-4.2, DEC-4</t>
        </is>
      </c>
    </row>
    <row r="13" ht="35.05" customHeight="1" s="23">
      <c r="A13" s="31" t="inlineStr">
        <is>
          <t>E-12</t>
        </is>
      </c>
      <c r="B13" s="31" t="inlineStr">
        <is>
          <t>Checked</t>
        </is>
      </c>
      <c r="C13" s="31" t="inlineStr">
        <is>
          <t>Reference builds: v1.11.3 kext x86_64 only (OSBundleLibraries + OSBundleLibraries_x86_64); v1.10.5 x86_64 + i386 + ppc; v1.9 i386 + x86_64; MIDI plug-in 1.11.2 x86_64 + i386, LC_VERSION_MIN 10.7</t>
        </is>
      </c>
      <c r="D13" s="31" t="inlineStr">
        <is>
          <t>lipo, otool -l, PlistBuddy</t>
        </is>
      </c>
      <c r="E13" s="31" t="inlineStr">
        <is>
          <t>_extracted/, _refs/sl-v1.9, _vendor/README.md</t>
        </is>
      </c>
      <c r="F13" s="31" t="inlineStr">
        <is>
          <t>2026-10-21</t>
        </is>
      </c>
      <c r="G13" s="31" t="inlineStr">
        <is>
          <t>BC-3.4, BC-4.7</t>
        </is>
      </c>
    </row>
    <row r="14" ht="23.85" customHeight="1" s="23">
      <c r="A14" s="31" t="inlineStr">
        <is>
          <t>E-13</t>
        </is>
      </c>
      <c r="B14" s="31" t="inlineStr">
        <is>
          <t>Checked</t>
        </is>
      </c>
      <c r="C14" s="31" t="inlineStr">
        <is>
          <t>CLT SDKs 13-15.2 on the dev Mac; 15.2 libkmod x86_64/x86_64h/arm64e; cc_kext i386/x86_64/arm64/arm64e; no i386 libkmod in modern SDKs</t>
        </is>
      </c>
      <c r="D14" s="31" t="inlineStr">
        <is>
          <t>lipo -archs</t>
        </is>
      </c>
      <c r="E14" s="31" t="inlineStr">
        <is>
          <t>dev Mac</t>
        </is>
      </c>
      <c r="F14" s="31" t="inlineStr">
        <is>
          <t>2026-10-21</t>
        </is>
      </c>
      <c r="G14" s="31" t="inlineStr">
        <is>
          <t>BC-2.2, BC-2.3</t>
        </is>
      </c>
    </row>
    <row r="15" ht="15" customHeight="1" s="23">
      <c r="A15" s="31" t="inlineStr">
        <is>
          <t>E-14</t>
        </is>
      </c>
      <c r="B15" s="31" t="inlineStr">
        <is>
          <t>Checked</t>
        </is>
      </c>
      <c r="C15" s="31" t="inlineStr">
        <is>
          <t>Helper uses only 10.0-10.4-era IOKit / CF / SystemConfiguration APIs</t>
        </is>
      </c>
      <c r="D15" s="31" t="inlineStr">
        <is>
          <t>grep of firmware-helper/*.c</t>
        </is>
      </c>
      <c r="E15" s="31" t="inlineStr">
        <is>
          <t>firmware-helper/</t>
        </is>
      </c>
      <c r="F15" s="31" t="inlineStr">
        <is>
          <t>2026-10-21</t>
        </is>
      </c>
      <c r="G15" s="31" t="inlineStr">
        <is>
          <t>BC-4.1</t>
        </is>
      </c>
    </row>
    <row r="16" ht="15" customHeight="1" s="23">
      <c r="A16" s="31" t="inlineStr">
        <is>
          <t>E-15</t>
        </is>
      </c>
      <c r="B16" s="31" t="inlineStr">
        <is>
          <t>Checked</t>
        </is>
      </c>
      <c r="C16" s="31" t="inlineStr">
        <is>
          <t>Disk image UDZO + HFS+</t>
        </is>
      </c>
      <c r="D16" s="31" t="inlineStr">
        <is>
          <t>read the settings</t>
        </is>
      </c>
      <c r="E16" s="31" t="inlineStr">
        <is>
          <t>installer/dmg-settings.py:7-8</t>
        </is>
      </c>
      <c r="F16" s="31" t="inlineStr">
        <is>
          <t>2026-10-21</t>
        </is>
      </c>
      <c r="G16" s="31" t="inlineStr">
        <is>
          <t>Components</t>
        </is>
      </c>
    </row>
    <row r="17" ht="15" customHeight="1" s="23">
      <c r="A17" s="31" t="inlineStr">
        <is>
          <t>E-16</t>
        </is>
      </c>
      <c r="B17" s="31" t="inlineStr">
        <is>
          <t>Checked</t>
        </is>
      </c>
      <c r="C17" s="31" t="inlineStr">
        <is>
          <t>Panel 5,925 lines of Swift (+ ~120 Uninstaller); helper 457 lines of C</t>
        </is>
      </c>
      <c r="D17" s="31" t="inlineStr">
        <is>
          <t>wc -l</t>
        </is>
      </c>
      <c r="E17" s="31" t="inlineStr">
        <is>
          <t>control-panel/Sources, firmware-helper</t>
        </is>
      </c>
      <c r="F17" s="31" t="inlineStr">
        <is>
          <t>2026-10-21</t>
        </is>
      </c>
      <c r="G17" s="31" t="inlineStr">
        <is>
          <t>BC-4.4</t>
        </is>
      </c>
    </row>
    <row r="18" ht="15" customHeight="1" s="23">
      <c r="A18" s="31" t="inlineStr">
        <is>
          <t>U-1</t>
        </is>
      </c>
      <c r="B18" s="31" t="inlineStr">
        <is>
          <t>Unverified</t>
        </is>
      </c>
      <c r="C18" s="31" t="inlineStr">
        <is>
          <t>10.6 boots K32 on most Macs; 10.7 on some; 32-bit-EFI Macs cannot boot K64</t>
        </is>
      </c>
      <c r="D18" s="31" t="inlineStr">
        <is>
          <t>uname -v per target; Apple notes</t>
        </is>
      </c>
      <c r="E18" s="31" t="inlineStr">
        <is>
          <t>BC-1.2</t>
        </is>
      </c>
      <c r="F18" s="31" t="n"/>
      <c r="G18" s="31" t="inlineStr">
        <is>
          <t>DEC-2</t>
        </is>
      </c>
    </row>
    <row r="19" ht="23.85" customHeight="1" s="23">
      <c r="A19" s="31" t="inlineStr">
        <is>
          <t>U-2</t>
        </is>
      </c>
      <c r="B19" s="31" t="inlineStr">
        <is>
          <t>Unverified</t>
        </is>
      </c>
      <c r="C19" s="31" t="inlineStr">
        <is>
          <t>Unsigned-kext policy per OS (10.10 kext-dev-mode, 10.11+ SIP, 11+ AuxKC approval, Apple Silicon Permissive Security); 10.13.6 row verified by the project</t>
        </is>
      </c>
      <c r="D19" s="31" t="inlineStr">
        <is>
          <t>Apple docs, man kmutil/kextutil</t>
        </is>
      </c>
      <c r="E19" s="31" t="inlineStr">
        <is>
          <t>BC-1.2</t>
        </is>
      </c>
      <c r="F19" s="31" t="n"/>
      <c r="G19" s="31" t="inlineStr">
        <is>
          <t>OS_Matrix, BC-5.4</t>
        </is>
      </c>
    </row>
    <row r="20" ht="15" customHeight="1" s="23">
      <c r="A20" s="31" t="inlineStr">
        <is>
          <t>U-3</t>
        </is>
      </c>
      <c r="B20" s="31" t="inlineStr">
        <is>
          <t>Unverified</t>
        </is>
      </c>
      <c r="C20" s="31" t="inlineStr">
        <is>
          <t>/Library/Extensions is scanned only from 10.9</t>
        </is>
      </c>
      <c r="D20" s="31" t="inlineStr">
        <is>
          <t>Apple docs</t>
        </is>
      </c>
      <c r="E20" s="31" t="inlineStr">
        <is>
          <t>BC-1.2</t>
        </is>
      </c>
      <c r="F20" s="31" t="n"/>
      <c r="G20" s="31" t="inlineStr">
        <is>
          <t>BC-5.1</t>
        </is>
      </c>
    </row>
    <row r="21" ht="23.85" customHeight="1" s="23">
      <c r="A21" s="31" t="inlineStr">
        <is>
          <t>U-4</t>
        </is>
      </c>
      <c r="B21" s="31" t="inlineStr">
        <is>
          <t>Unverified</t>
        </is>
      </c>
      <c r="C21" s="31" t="inlineStr">
        <is>
          <t>IOReporting (configureReport/updateReport) exists from 10.9 - the Main build's floor</t>
        </is>
      </c>
      <c r="D21" s="31" t="inlineStr">
        <is>
          <t>10.9 symbol set / KDK</t>
        </is>
      </c>
      <c r="E21" s="31" t="inlineStr">
        <is>
          <t>BC-1.1</t>
        </is>
      </c>
      <c r="F21" s="31" t="n"/>
      <c r="G21" s="31" t="inlineStr">
        <is>
          <t>DEC-1</t>
        </is>
      </c>
    </row>
    <row r="22" ht="15" customHeight="1" s="23">
      <c r="A22" s="31" t="inlineStr">
        <is>
          <t>U-5</t>
        </is>
      </c>
      <c r="B22" s="31" t="inlineStr">
        <is>
          <t>Unverified</t>
        </is>
      </c>
      <c r="C22" s="31" t="inlineStr">
        <is>
          <t>___memmove_chk / ___strlcat_chk exported on 10.9-10.12</t>
        </is>
      </c>
      <c r="D22" s="31" t="inlineStr">
        <is>
          <t>symbol sets; or -D_FORTIFY_SOURCE=0</t>
        </is>
      </c>
      <c r="E22" s="31" t="inlineStr">
        <is>
          <t>BC-1.1</t>
        </is>
      </c>
      <c r="F22" s="31" t="n"/>
      <c r="G22" s="31" t="inlineStr">
        <is>
          <t>BC-3.2</t>
        </is>
      </c>
    </row>
    <row r="23" ht="23.85" customHeight="1" s="23">
      <c r="A23" s="31" t="inlineStr">
        <is>
          <t>U-6</t>
        </is>
      </c>
      <c r="B23" s="31" t="inlineStr">
        <is>
          <t>Unverified</t>
        </is>
      </c>
      <c r="C23" s="31" t="inlineStr">
        <is>
          <t>macOS 26 Tahoe has no FireWire stack (ceiling = 15)</t>
        </is>
      </c>
      <c r="D23" s="31" t="inlineStr">
        <is>
          <t>macfw statement; a Tahoe KDK</t>
        </is>
      </c>
      <c r="E23" s="31" t="inlineStr">
        <is>
          <t>docs/MACOS12_PORT_PERSPECTIVE.md §1-2</t>
        </is>
      </c>
      <c r="F23" s="31" t="n"/>
      <c r="G23" s="31" t="inlineStr">
        <is>
          <t>scope</t>
        </is>
      </c>
    </row>
    <row r="24" ht="15" customHeight="1" s="23">
      <c r="A24" s="31" t="inlineStr">
        <is>
          <t>U-7</t>
        </is>
      </c>
      <c r="B24" s="31" t="inlineStr">
        <is>
          <t>Unverified</t>
        </is>
      </c>
      <c r="C24" s="31" t="inlineStr">
        <is>
          <t>The 1.11.2 MIDI plug-in (min 10.7) runs on 10.6.8</t>
        </is>
      </c>
      <c r="D24" s="31" t="inlineStr">
        <is>
          <t>imports vs 10.6.8 frameworks</t>
        </is>
      </c>
      <c r="E24" s="31" t="inlineStr">
        <is>
          <t>BC-4.7</t>
        </is>
      </c>
      <c r="F24" s="31" t="n"/>
      <c r="G24" s="31" t="inlineStr">
        <is>
          <t>Band L MIDI</t>
        </is>
      </c>
    </row>
    <row r="25" ht="15" customHeight="1" s="23">
      <c r="A25" s="31" t="inlineStr">
        <is>
          <t>U-8</t>
        </is>
      </c>
      <c r="B25" s="31" t="inlineStr">
        <is>
          <t>Unverified</t>
        </is>
      </c>
      <c r="C25" s="31" t="inlineStr">
        <is>
          <t>x86_64 panel works against the real kext on 11-15</t>
        </is>
      </c>
      <c r="D25" s="31" t="inlineStr">
        <is>
          <t>BC-6.1. 2026-10-21: the panel starts and opens the vendor user client against the real kext on 14.8.9 (R126); controls and meters not exercised</t>
        </is>
      </c>
      <c r="E25" s="31" t="inlineStr">
        <is>
          <t>BC-6.1</t>
        </is>
      </c>
      <c r="F25" s="31" t="n"/>
      <c r="G25" s="31" t="inlineStr">
        <is>
          <t>M11</t>
        </is>
      </c>
    </row>
    <row r="26" ht="15" customHeight="1" s="23">
      <c r="A26" s="31" t="inlineStr">
        <is>
          <t>U-9</t>
        </is>
      </c>
      <c r="B26" s="31" t="inlineStr">
        <is>
          <t>Unverified</t>
        </is>
      </c>
      <c r="C26" s="31" t="inlineStr">
        <is>
          <t>CoreMIDI on Apple Silicon can host an x86_64-only driver plug-in</t>
        </is>
      </c>
      <c r="D26" s="31" t="inlineStr">
        <is>
          <t>one Apple Silicon run or Apple docs</t>
        </is>
      </c>
      <c r="E26" s="31" t="inlineStr">
        <is>
          <t>—</t>
        </is>
      </c>
      <c r="F26" s="31" t="n"/>
      <c r="G26" s="31" t="inlineStr">
        <is>
          <t>DEC-8</t>
        </is>
      </c>
    </row>
    <row r="27" ht="15" customHeight="1" s="23">
      <c r="A27" s="31" t="inlineStr">
        <is>
          <t>U-10</t>
        </is>
      </c>
      <c r="B27" s="31" t="inlineStr">
        <is>
          <t>Unverified</t>
        </is>
      </c>
      <c r="C27" s="31" t="inlineStr">
        <is>
          <t>FireWire works on Apple Silicon through TB3-&gt;TB2 + TB-&gt;FW800 adapters</t>
        </is>
      </c>
      <c r="D27" s="31" t="inlineStr">
        <is>
          <t>BC-6.4</t>
        </is>
      </c>
      <c r="E27" s="31" t="inlineStr">
        <is>
          <t>BC-6.4</t>
        </is>
      </c>
      <c r="F27" s="31" t="n"/>
      <c r="G27" s="31" t="inlineStr">
        <is>
          <t>DEC-3</t>
        </is>
      </c>
    </row>
    <row r="28" ht="15" customHeight="1" s="23">
      <c r="A28" s="31" t="inlineStr">
        <is>
          <t>U-11</t>
        </is>
      </c>
      <c r="B28" s="31" t="inlineStr">
        <is>
          <t>Unverified</t>
        </is>
      </c>
      <c r="C28" s="31" t="inlineStr">
        <is>
          <t>kxld / kmutil patch the reserved-slot vtable entries 15/16 of a 10.13-SDK kext</t>
        </is>
      </c>
      <c r="D28" s="31" t="inlineStr">
        <is>
          <t>Moot for the Modern edition: the 15.x SDK build is used instead (E-17, E-18); patching of a 10.13-SDK build never tried</t>
        </is>
      </c>
      <c r="E28" s="31" t="inlineStr">
        <is>
          <t>BC-6.1</t>
        </is>
      </c>
      <c r="F28" s="31" t="n"/>
      <c r="G28" s="31" t="inlineStr">
        <is>
          <t>BC-3.3</t>
        </is>
      </c>
    </row>
    <row r="29" ht="23.85" customHeight="1" s="23">
      <c r="A29" s="31" t="inlineStr">
        <is>
          <t>U-12</t>
        </is>
      </c>
      <c r="B29" s="31" t="inlineStr">
        <is>
          <t>Unverified</t>
        </is>
      </c>
      <c r="C29" s="31" t="inlineStr">
        <is>
          <t>An old-SDK x86_64 slice loads and runs on 10.9-15 (would allow one kext bundle)</t>
        </is>
      </c>
      <c r="D29" s="31" t="inlineStr">
        <is>
          <t>BC-6.1 with the Legacy build</t>
        </is>
      </c>
      <c r="E29" s="31" t="inlineStr">
        <is>
          <t>BC-6.1</t>
        </is>
      </c>
      <c r="F29" s="31" t="n"/>
      <c r="G29" s="31" t="inlineStr">
        <is>
          <t>Option A'</t>
        </is>
      </c>
    </row>
    <row r="30" ht="23.85" customHeight="1" s="23">
      <c r="A30" s="31" t="inlineStr">
        <is>
          <t>U-13</t>
        </is>
      </c>
      <c r="B30" s="31" t="inlineStr">
        <is>
          <t>Unverified</t>
        </is>
      </c>
      <c r="C30" s="31" t="inlineStr">
        <is>
          <t>10.6 HAL behaviour with our 10.13-driven deviations (VerifyStreamFormats, rate changes through CoreAudio)</t>
        </is>
      </c>
      <c r="D30" s="31" t="inlineStr">
        <is>
          <t>BC-6.3</t>
        </is>
      </c>
      <c r="E30" s="31" t="inlineStr">
        <is>
          <t>BC-6.3</t>
        </is>
      </c>
      <c r="F30" s="31" t="n"/>
      <c r="G30" s="31" t="inlineStr">
        <is>
          <t>RK-1</t>
        </is>
      </c>
    </row>
    <row r="31" ht="23.85" customHeight="1" s="23">
      <c r="A31" s="31" t="inlineStr">
        <is>
          <t>U-14</t>
        </is>
      </c>
      <c r="B31" s="31" t="inlineStr">
        <is>
          <t>Unverified</t>
        </is>
      </c>
      <c r="C31" s="31" t="inlineStr">
        <is>
          <t>DCL ring, TPacketPool (4 KiB packing, 32-bit mask) and 4 KiB meter page on Apple Silicon (16 KiB pages, DART, 24 MHz timebase, PAC)</t>
        </is>
      </c>
      <c r="D31" s="31" t="inlineStr">
        <is>
          <t>BC-1.4 static, BC-6.4</t>
        </is>
      </c>
      <c r="E31" s="31" t="inlineStr">
        <is>
          <t>BC-1.4</t>
        </is>
      </c>
      <c r="F31" s="31" t="n"/>
      <c r="G31" s="31" t="inlineStr">
        <is>
          <t>BC-3.5</t>
        </is>
      </c>
    </row>
    <row r="32">
      <c r="A32" s="22" t="inlineStr">
        <is>
          <t>E-17</t>
        </is>
      </c>
      <c r="B32" s="22" t="inlineStr">
        <is>
          <t>Checked</t>
        </is>
      </c>
      <c r="C32" s="22" t="inlineStr">
        <is>
          <t>14.8.9 Intel: shipped 0.2.2 kext resolves 775/777 (only _RESERVEDIOAudioEngine15/16 missing); the same sources built with MacOSX15.2.sdk resolve 778/778</t>
        </is>
      </c>
      <c r="D32" s="22" t="inlineStr">
        <is>
          <t>kmutil libraries -p &lt;kext&gt; -a x86_64 -z on the dev Mac</t>
        </is>
      </c>
      <c r="E32" s="22" t="inlineStr">
        <is>
          <t>evidence/kext-0.2.2-kmutil-libraries-macos-14.8.9.txt</t>
        </is>
      </c>
      <c r="F32" s="22" t="inlineStr">
        <is>
          <t>2026-10-21</t>
        </is>
      </c>
      <c r="G32" s="22" t="inlineStr">
        <is>
          <t>BC-3.3, U-11</t>
        </is>
      </c>
    </row>
    <row r="33">
      <c r="A33" s="22" t="inlineStr">
        <is>
          <t>E-18</t>
        </is>
      </c>
      <c r="B33" s="22" t="inlineStr">
        <is>
          <t>Checked</t>
        </is>
      </c>
      <c r="C33" s="22" t="inlineStr">
        <is>
          <t>Modern kext (15.2 SDK) loads on 14.8.9 Intel, attaches the FW Audiophile through the TB-FW adapter and plays (user heard it; TX 46/46 ms, no CLIP jump); one dropout in real use, adapter FireWire controller left PCI first, cause open</t>
        </is>
      </c>
      <c r="D33" s="22" t="inlineStr">
        <is>
          <t>Dev Mac run: kmutil showloaded, ioreg trace, say -a, maprop MADebugTxStats, log show</t>
        </is>
      </c>
      <c r="E33" s="22" t="inlineStr">
        <is>
          <t>evidence/modern-kext-first-run-audiophile-macos-14.8.9.txt; evidence/modern-kext-dropout-macos-14.8.9-1941.txt</t>
        </is>
      </c>
      <c r="F33" s="22" t="inlineStr">
        <is>
          <t>2026-10-21</t>
        </is>
      </c>
      <c r="G33" s="22" t="inlineStr">
        <is>
          <t>BC-6.1, RK-4, RK-6</t>
        </is>
      </c>
    </row>
  </sheetData>
  <autoFilter ref="A1:G31"/>
  <conditionalFormatting sqref="B2:B31">
    <cfRule type="expression" rank="0" priority="2" equalAverage="0" aboveAverage="0" dxfId="8" text="" percent="0" bottom="0">
      <formula>$B2="Checked"</formula>
    </cfRule>
    <cfRule type="expression" rank="0" priority="3" equalAverage="0" aboveAverage="0" dxfId="10" text="" percent="0" bottom="0">
      <formula>$B2="Unverified"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7" customWidth="1" style="22" min="1" max="1"/>
    <col width="60" customWidth="1" style="22" min="2" max="2"/>
    <col width="10" customWidth="1" style="22" min="3" max="3"/>
    <col width="14" customWidth="1" style="22" min="4" max="4"/>
    <col width="12" customWidth="1" style="22" min="5" max="5"/>
    <col width="50" customWidth="1" style="22" min="6" max="6"/>
    <col width="12" customWidth="1" style="22" min="7" max="7"/>
  </cols>
  <sheetData>
    <row r="1" ht="23.85" customHeight="1" s="23">
      <c r="A1" s="29" t="inlineStr">
        <is>
          <t>ID</t>
        </is>
      </c>
      <c r="B1" s="29" t="inlineStr">
        <is>
          <t>Risk</t>
        </is>
      </c>
      <c r="C1" s="29" t="inlineStr">
        <is>
          <t>Bands</t>
        </is>
      </c>
      <c r="D1" s="29" t="inlineStr">
        <is>
          <t>Likelihood (estimate)</t>
        </is>
      </c>
      <c r="E1" s="29" t="inlineStr">
        <is>
          <t>Impact (estimate)</t>
        </is>
      </c>
      <c r="F1" s="29" t="inlineStr">
        <is>
          <t>Mitigation</t>
        </is>
      </c>
      <c r="G1" s="29" t="inlineStr">
        <is>
          <t>Task</t>
        </is>
      </c>
    </row>
    <row r="2" ht="15" customHeight="1" s="23">
      <c r="A2" s="31" t="inlineStr">
        <is>
          <t>RK-1</t>
        </is>
      </c>
      <c r="B2" s="31" t="inlineStr">
        <is>
          <t>10.6 HAL / IOAudioFamily behave differently from 10.13 (U-13)</t>
        </is>
      </c>
      <c r="C2" s="31" t="inlineStr">
        <is>
          <t>L</t>
        </is>
      </c>
      <c r="D2" s="41" t="inlineStr">
        <is>
          <t>Medium</t>
        </is>
      </c>
      <c r="E2" s="41" t="inlineStr">
        <is>
          <t>High</t>
        </is>
      </c>
      <c r="F2" s="31" t="inlineStr">
        <is>
          <t>Decompile-and-diff first (standing method lesson); BC-6.3</t>
        </is>
      </c>
      <c r="G2" s="31" t="inlineStr">
        <is>
          <t>BC-6.3</t>
        </is>
      </c>
    </row>
    <row r="3" ht="23.85" customHeight="1" s="23">
      <c r="A3" s="31" t="inlineStr">
        <is>
          <t>RK-2</t>
        </is>
      </c>
      <c r="B3" s="31" t="inlineStr">
        <is>
          <t>A 10.13-forced deviation misbehaves on another IOAudioFamily version (206.5 vs 540.3)</t>
        </is>
      </c>
      <c r="C3" s="31" t="inlineStr">
        <is>
          <t>all</t>
        </is>
      </c>
      <c r="D3" s="41" t="inlineStr">
        <is>
          <t>Medium</t>
        </is>
      </c>
      <c r="E3" s="41" t="inlineStr">
        <is>
          <t>Medium</t>
        </is>
      </c>
      <c r="F3" s="31" t="inlineStr">
        <is>
          <t>BC-3.1 gates each deviation by OS range</t>
        </is>
      </c>
      <c r="G3" s="31" t="inlineStr">
        <is>
          <t>BC-3.1</t>
        </is>
      </c>
    </row>
    <row r="4" ht="15" customHeight="1" s="23">
      <c r="A4" s="31" t="inlineStr">
        <is>
          <t>RK-3</t>
        </is>
      </c>
      <c r="B4" s="31" t="inlineStr">
        <is>
          <t>kmutil does not patch reserved slots 15/16</t>
        </is>
      </c>
      <c r="C4" s="31" t="inlineStr">
        <is>
          <t>M11</t>
        </is>
      </c>
      <c r="D4" s="41" t="inlineStr">
        <is>
          <t>Low</t>
        </is>
      </c>
      <c r="E4" s="41" t="inlineStr">
        <is>
          <t>Medium</t>
        </is>
      </c>
      <c r="F4" s="31" t="inlineStr">
        <is>
          <t>Done: the Modern edition is built with the 15.x SDK (E-17, E-18)</t>
        </is>
      </c>
      <c r="G4" s="31" t="inlineStr">
        <is>
          <t>BC-3.3</t>
        </is>
      </c>
    </row>
    <row r="5" ht="23.85" customHeight="1" s="23">
      <c r="A5" s="31" t="inlineStr">
        <is>
          <t>RK-4</t>
        </is>
      </c>
      <c r="B5" s="31" t="inlineStr">
        <is>
          <t>Classic DCL from the kernel fails on 11-15 (symbol present on x86_64 and arm64e, E-4/E-5)</t>
        </is>
      </c>
      <c r="C5" s="31" t="inlineStr">
        <is>
          <t>M11, AS</t>
        </is>
      </c>
      <c r="D5" s="41" t="inlineStr">
        <is>
          <t>Low (Intel TX runs on 14.8.9, E-18)</t>
        </is>
      </c>
      <c r="E5" s="41" t="inlineStr">
        <is>
          <t>High</t>
        </is>
      </c>
      <c r="F5" s="31" t="inlineStr">
        <is>
          <t>BC-6.1 decides it early</t>
        </is>
      </c>
      <c r="G5" s="31" t="inlineStr">
        <is>
          <t>BC-6.1</t>
        </is>
      </c>
    </row>
    <row r="6" ht="15" customHeight="1" s="23">
      <c r="A6" s="31" t="inlineStr">
        <is>
          <t>RK-5</t>
        </is>
      </c>
      <c r="B6" s="31" t="inlineStr">
        <is>
          <t>16 KiB pages / DART / timebase break the DMA ring or meter page</t>
        </is>
      </c>
      <c r="C6" s="31" t="inlineStr">
        <is>
          <t>AS</t>
        </is>
      </c>
      <c r="D6" s="41" t="inlineStr">
        <is>
          <t>Medium</t>
        </is>
      </c>
      <c r="E6" s="41" t="inlineStr">
        <is>
          <t>High</t>
        </is>
      </c>
      <c r="F6" s="31" t="inlineStr">
        <is>
          <t>BC-1.4, BC-3.5</t>
        </is>
      </c>
      <c r="G6" s="31" t="inlineStr">
        <is>
          <t>BC-3.5</t>
        </is>
      </c>
    </row>
    <row r="7" ht="23.85" customHeight="1" s="23">
      <c r="A7" s="31" t="inlineStr">
        <is>
          <t>RK-6</t>
        </is>
      </c>
      <c r="B7" s="31" t="inlineStr">
        <is>
          <t>FireWire through the adapter chain unreliable; bus power short for the Audiophile</t>
        </is>
      </c>
      <c r="C7" s="31" t="inlineStr">
        <is>
          <t>AS, M11</t>
        </is>
      </c>
      <c r="D7" s="41" t="inlineStr">
        <is>
          <t>Medium</t>
        </is>
      </c>
      <c r="E7" s="41" t="inlineStr">
        <is>
          <t>High</t>
        </is>
      </c>
      <c r="F7" s="31" t="inlineStr">
        <is>
          <t>BC-6.4; 2026-10-21: one dropout on Intel 14.8.9 with the adapter, interface bus-powered (R126; user suspects a bad contact)</t>
        </is>
      </c>
      <c r="G7" s="31" t="inlineStr">
        <is>
          <t>BC-6.4</t>
        </is>
      </c>
    </row>
    <row r="8" ht="23.85" customHeight="1" s="23">
      <c r="A8" s="31" t="inlineStr">
        <is>
          <t>RK-7</t>
        </is>
      </c>
      <c r="B8" s="31" t="inlineStr">
        <is>
          <t>A panic reboots the test host; on Apple Silicon recovery needs recoveryOS</t>
        </is>
      </c>
      <c r="C8" s="31" t="inlineStr">
        <is>
          <t>all</t>
        </is>
      </c>
      <c r="D8" s="41" t="inlineStr">
        <is>
          <t>Medium</t>
        </is>
      </c>
      <c r="E8" s="41" t="inlineStr">
        <is>
          <t>Medium</t>
        </is>
      </c>
      <c r="F8" s="31" t="inlineStr">
        <is>
          <t>Say so before any load (hardware etiquette); §8</t>
        </is>
      </c>
      <c r="G8" s="31" t="inlineStr">
        <is>
          <t>BC-6.x</t>
        </is>
      </c>
    </row>
    <row r="9" ht="15" customHeight="1" s="23">
      <c r="A9" s="31" t="inlineStr">
        <is>
          <t>RK-8</t>
        </is>
      </c>
      <c r="B9" s="31" t="inlineStr">
        <is>
          <t>Three toolchains per release (Xcode 9.4.1, 10.6 SDK, CLT / Xcode 12+)</t>
        </is>
      </c>
      <c r="C9" s="31" t="inlineStr">
        <is>
          <t>all</t>
        </is>
      </c>
      <c r="D9" s="41" t="inlineStr">
        <is>
          <t>High</t>
        </is>
      </c>
      <c r="E9" s="41" t="inlineStr">
        <is>
          <t>Low</t>
        </is>
      </c>
      <c r="F9" s="31" t="inlineStr">
        <is>
          <t>BC-2 scripts; record toolchain versions in CHANGELOG</t>
        </is>
      </c>
      <c r="G9" s="31" t="inlineStr">
        <is>
          <t>BC-2.x</t>
        </is>
      </c>
    </row>
    <row r="10" ht="15" customHeight="1" s="23">
      <c r="A10" s="31" t="inlineStr">
        <is>
          <t>RK-9</t>
        </is>
      </c>
      <c r="B10" s="31" t="inlineStr">
        <is>
          <t>Permissive Security lowers the whole Mac's security</t>
        </is>
      </c>
      <c r="C10" s="31" t="inlineStr">
        <is>
          <t>AS</t>
        </is>
      </c>
      <c r="D10" s="41" t="inlineStr">
        <is>
          <t>High</t>
        </is>
      </c>
      <c r="E10" s="41" t="inlineStr">
        <is>
          <t>Medium</t>
        </is>
      </c>
      <c r="F10" s="31" t="inlineStr">
        <is>
          <t>User's choice, stated in the installer pages</t>
        </is>
      </c>
      <c r="G10" s="31" t="inlineStr">
        <is>
          <t>BC-5.4</t>
        </is>
      </c>
    </row>
    <row r="11" ht="15" customHeight="1" s="23">
      <c r="A11" s="31" t="inlineStr">
        <is>
          <t>RK-10</t>
        </is>
      </c>
      <c r="B11" s="31" t="inlineStr">
        <is>
          <t>Panel port introduces UI regressions</t>
        </is>
      </c>
      <c r="C11" s="31" t="inlineStr">
        <is>
          <t>L</t>
        </is>
      </c>
      <c r="D11" s="41" t="inlineStr">
        <is>
          <t>Medium</t>
        </is>
      </c>
      <c r="E11" s="41" t="inlineStr">
        <is>
          <t>Medium</t>
        </is>
      </c>
      <c r="F11" s="31" t="inlineStr">
        <is>
          <t>Port file by file against the --demo --snapshot PNGs</t>
        </is>
      </c>
      <c r="G11" s="31" t="inlineStr">
        <is>
          <t>BC-4.4</t>
        </is>
      </c>
    </row>
    <row r="12" ht="15" customHeight="1" s="23">
      <c r="A12" s="31" t="inlineStr">
        <is>
          <t>RK-11</t>
        </is>
      </c>
      <c r="B12" s="31" t="inlineStr">
        <is>
          <t>Original MIDI plug-in fails on 10.6 (min 10.7)</t>
        </is>
      </c>
      <c r="C12" s="31" t="inlineStr">
        <is>
          <t>L</t>
        </is>
      </c>
      <c r="D12" s="41" t="inlineStr">
        <is>
          <t>Medium</t>
        </is>
      </c>
      <c r="E12" s="41" t="inlineStr">
        <is>
          <t>Low</t>
        </is>
      </c>
      <c r="F12" s="31" t="inlineStr">
        <is>
          <t>BC-4.7 -&gt; clone</t>
        </is>
      </c>
      <c r="G12" s="31" t="inlineStr">
        <is>
          <t>BC-4.7</t>
        </is>
      </c>
    </row>
    <row r="13" ht="23.85" customHeight="1" s="23">
      <c r="A13" s="31" t="inlineStr">
        <is>
          <t>RK-12</t>
        </is>
      </c>
      <c r="B13" s="31" t="inlineStr">
        <is>
          <t>Most bands ship untested (R123)</t>
        </is>
      </c>
      <c r="C13" s="31" t="inlineStr">
        <is>
          <t>all</t>
        </is>
      </c>
      <c r="D13" s="41" t="inlineStr">
        <is>
          <t>High</t>
        </is>
      </c>
      <c r="E13" s="41" t="inlineStr">
        <is>
          <t>Medium</t>
        </is>
      </c>
      <c r="F13" s="31" t="inlineStr">
        <is>
          <t>README marks each band; on-device checks only on request</t>
        </is>
      </c>
      <c r="G13" s="31" t="inlineStr">
        <is>
          <t>BC-7.1</t>
        </is>
      </c>
    </row>
  </sheetData>
  <autoFilter ref="A1:G13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B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22" min="1" max="1"/>
    <col width="90" customWidth="1" style="22" min="2" max="2"/>
  </cols>
  <sheetData>
    <row r="1" ht="17.35" customHeight="1" s="23">
      <c r="A1" s="24" t="inlineStr">
        <is>
          <t>Legend</t>
        </is>
      </c>
      <c r="B1" s="28" t="n"/>
    </row>
    <row r="2" ht="15" customHeight="1" s="23">
      <c r="A2" s="26" t="n"/>
      <c r="B2" s="28" t="n"/>
    </row>
    <row r="3" ht="15" customHeight="1" s="23">
      <c r="A3" s="26" t="inlineStr">
        <is>
          <t>Bands</t>
        </is>
      </c>
      <c r="B3" s="28" t="n"/>
    </row>
    <row r="4" ht="15" customHeight="1" s="23">
      <c r="A4" s="42" t="inlineStr">
        <is>
          <t>C</t>
        </is>
      </c>
      <c r="B4" s="28" t="inlineStr">
        <is>
          <t>Common: needed in every scenario</t>
        </is>
      </c>
    </row>
    <row r="5" ht="15" customHeight="1" s="23">
      <c r="A5" s="42" t="inlineStr">
        <is>
          <t>M</t>
        </is>
      </c>
      <c r="B5" s="28" t="inlineStr">
        <is>
          <t>Main: Intel 10.9-15 (M11 = the same build on 11-15)</t>
        </is>
      </c>
    </row>
    <row r="6" ht="15" customHeight="1" s="23">
      <c r="A6" s="42" t="inlineStr">
        <is>
          <t>AS</t>
        </is>
      </c>
      <c r="B6" s="28" t="inlineStr">
        <is>
          <t>Apple Silicon 11-15</t>
        </is>
      </c>
    </row>
    <row r="7" ht="15" customHeight="1" s="23">
      <c r="A7" s="42" t="inlineStr">
        <is>
          <t>L</t>
        </is>
      </c>
      <c r="B7" s="28" t="inlineStr">
        <is>
          <t>Legacy: 10.6.8-10.8.5</t>
        </is>
      </c>
    </row>
    <row r="8" ht="15" customHeight="1" s="23">
      <c r="A8" s="26" t="n"/>
      <c r="B8" s="28" t="n"/>
    </row>
    <row r="9" ht="15" customHeight="1" s="23">
      <c r="A9" s="26" t="inlineStr">
        <is>
          <t>Scenarios</t>
        </is>
      </c>
      <c r="B9" s="28" t="n"/>
    </row>
    <row r="10" ht="15" customHeight="1" s="23">
      <c r="A10" s="42" t="inlineStr">
        <is>
          <t>S1</t>
        </is>
      </c>
      <c r="B10" s="28" t="inlineStr">
        <is>
          <t>Intel 10.9-15 = C + M</t>
        </is>
      </c>
    </row>
    <row r="11" ht="15" customHeight="1" s="23">
      <c r="A11" s="42" t="inlineStr">
        <is>
          <t>S2</t>
        </is>
      </c>
      <c r="B11" s="28" t="inlineStr">
        <is>
          <t>S1 + Apple Silicon = C + M + AS</t>
        </is>
      </c>
    </row>
    <row r="12" ht="15" customHeight="1" s="23">
      <c r="A12" s="42" t="inlineStr">
        <is>
          <t>S3</t>
        </is>
      </c>
      <c r="B12" s="28" t="inlineStr">
        <is>
          <t>S2 + 10.6.8-10.8.5 = C + M + AS + L (the full request)</t>
        </is>
      </c>
    </row>
    <row r="13" ht="15" customHeight="1" s="23">
      <c r="A13" s="26" t="n"/>
      <c r="B13" s="28" t="n"/>
    </row>
    <row r="14" ht="15" customHeight="1" s="23">
      <c r="A14" s="26" t="inlineStr">
        <is>
          <t>Task status values</t>
        </is>
      </c>
      <c r="B14" s="28" t="n"/>
    </row>
    <row r="15" ht="15" customHeight="1" s="23">
      <c r="A15" s="42" t="inlineStr">
        <is>
          <t>Waiting decision</t>
        </is>
      </c>
      <c r="B15" s="28" t="inlineStr">
        <is>
          <t>Gated by a DEC-n in the Decisions tab</t>
        </is>
      </c>
    </row>
    <row r="16" ht="15" customHeight="1" s="23">
      <c r="A16" s="42" t="inlineStr">
        <is>
          <t>Partly done / Done (static)</t>
        </is>
      </c>
      <c r="B16" s="28" t="inlineStr">
        <is>
          <t>Static work done on 2026-10-21 (nothing loaded)</t>
        </is>
      </c>
    </row>
    <row r="17" ht="15" customHeight="1" s="23">
      <c r="A17" s="42" t="inlineStr">
        <is>
          <t>On request</t>
        </is>
      </c>
      <c r="B17" s="28" t="inlineStr">
        <is>
          <t>On-device check; runs only if the user asks (no formal testing, R123)</t>
        </is>
      </c>
    </row>
    <row r="18" ht="15" customHeight="1" s="23">
      <c r="A18" s="42" t="inlineStr">
        <is>
          <t>Blocked (hardware)</t>
        </is>
      </c>
      <c r="B18" s="28" t="inlineStr">
        <is>
          <t>Needs hardware the project does not have</t>
        </is>
      </c>
    </row>
    <row r="19" ht="15" customHeight="1" s="23">
      <c r="A19" s="26" t="n"/>
      <c r="B19" s="28" t="n"/>
    </row>
    <row r="20" ht="15" customHeight="1" s="23">
      <c r="A20" s="26" t="inlineStr">
        <is>
          <t>Editing</t>
        </is>
      </c>
      <c r="B20" s="28" t="n"/>
    </row>
    <row r="21" ht="15" customHeight="1" s="23">
      <c r="A21" s="43" t="inlineStr">
        <is>
          <t>Blue text</t>
        </is>
      </c>
      <c r="B21" s="28" t="inlineStr">
        <is>
          <t>Inputs you may change: task status, min/max sessions, risk ratings</t>
        </is>
      </c>
    </row>
    <row r="22" ht="15" customHeight="1" s="23">
      <c r="A22" s="44" t="inlineStr">
        <is>
          <t>Yellow cells</t>
        </is>
      </c>
      <c r="B22" s="28" t="inlineStr">
        <is>
          <t>Decision answers (Decisions!H)</t>
        </is>
      </c>
    </row>
    <row r="23" ht="15" customHeight="1" s="23">
      <c r="A23" s="42" t="inlineStr">
        <is>
          <t>Black text</t>
        </is>
      </c>
      <c r="B23" s="28" t="inlineStr">
        <is>
          <t>Fixed text or formulas (Dashboard totals refresh from Tasks)</t>
        </is>
      </c>
    </row>
    <row r="24" ht="15" customHeight="1" s="23">
      <c r="A24" s="26" t="n"/>
      <c r="B24" s="28" t="n"/>
    </row>
    <row r="25" ht="15" customHeight="1" s="23">
      <c r="A25" s="26" t="inlineStr">
        <is>
          <t>Units</t>
        </is>
      </c>
      <c r="B25" s="28" t="n"/>
    </row>
    <row r="26" ht="15" customHeight="1" s="23">
      <c r="A26" s="42" t="inlineStr">
        <is>
          <t>Session</t>
        </is>
      </c>
      <c r="B26" s="28" t="inlineStr">
        <is>
          <t>One working session, as in docs/BUILD_AUDIOPHILE_PLAN_v2.md §8. Every effort figure is an estimate.</t>
        </is>
      </c>
    </row>
    <row r="27" ht="15" customHeight="1" s="23">
      <c r="A27" s="42" t="inlineStr">
        <is>
          <t>Evidence ids</t>
        </is>
      </c>
      <c r="B27" s="28" t="inlineStr">
        <is>
          <t>E-n checked on 2026-10-21; U-n unverified, with the check that settles it</t>
        </is>
      </c>
    </row>
    <row r="28" ht="15" customHeight="1" s="23">
      <c r="A28" s="42" t="inlineStr">
        <is>
          <t>Plan</t>
        </is>
      </c>
      <c r="B28" s="28" t="inlineStr">
        <is>
          <t>BROAD_COMPATIBILITY_PLAN_v1.md (same folder); a new version gets new files (_v2)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2026-10-21T21:36:10Z</dcterms:created>
  <dcterms:modified xsi:type="dcterms:W3CDTF">2026-10-22T11:53:30Z</dcterms:modified>
  <cp:revision>0</cp:revision>
</cp:coreProperties>
</file>