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" sheetId="1" state="visible" r:id="rId1"/>
    <sheet name="Resumo" sheetId="2" state="visible" r:id="rId2"/>
    <sheet name="Itens" sheetId="3" state="visible" r:id="rId3"/>
    <sheet name="Build" sheetId="4" state="visible" r:id="rId4"/>
    <sheet name="Flags_auditoria" sheetId="5" state="visible" r:id="rId5"/>
    <sheet name="Legenda" sheetId="6" state="visible" r:id="rId6"/>
  </sheets>
  <definedNames>
    <definedName name="_xlnm._FilterDatabase" localSheetId="2" hidden="1">'Itens'!$A$1:$P$60</definedName>
    <definedName name="_xlnm._FilterDatabase" localSheetId="3" hidden="1">'Build'!$A$1:$I$55</definedName>
    <definedName name="_xlnm._FilterDatabase" localSheetId="4" hidden="1">'Flags_auditoria'!$A$1:$K$10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  <font>
      <b val="1"/>
      <color rgb="00FFFFFF"/>
    </font>
    <font>
      <name val="Arial"/>
      <b val="1"/>
      <sz val="9"/>
    </font>
    <font>
      <name val="Arial"/>
      <sz val="9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6" fillId="5" borderId="2" applyAlignment="1" pivotButton="0" quotePrefix="0" xfId="0">
      <alignment vertical="top" wrapText="1"/>
    </xf>
    <xf numFmtId="1" fontId="16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9" fontId="17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vertical="top" wrapText="1"/>
    </xf>
    <xf numFmtId="0" fontId="0" fillId="0" borderId="9" pivotButton="0" quotePrefix="0" xfId="0"/>
    <xf numFmtId="9" fontId="16" fillId="0" borderId="2" applyAlignment="1" pivotButton="0" quotePrefix="0" xfId="0">
      <alignment horizontal="left" vertical="top"/>
    </xf>
    <xf numFmtId="0" fontId="16" fillId="6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6" fillId="7" borderId="2" applyAlignment="1" pivotButton="0" quotePrefix="0" xfId="0">
      <alignment vertical="top" wrapText="1"/>
    </xf>
    <xf numFmtId="164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9" fontId="16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center" vertical="top" wrapText="1"/>
    </xf>
    <xf numFmtId="1" fontId="13" fillId="0" borderId="2" applyAlignment="1" pivotButton="0" quotePrefix="0" xfId="0">
      <alignment horizontal="center" vertical="top" wrapText="1"/>
    </xf>
    <xf numFmtId="164" fontId="13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3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49" fontId="16" fillId="0" borderId="2" applyAlignment="1" pivotButton="0" quotePrefix="0" xfId="0">
      <alignment horizontal="left" vertical="top"/>
    </xf>
    <xf numFmtId="0" fontId="1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2" fillId="0" borderId="0" pivotButton="0" quotePrefix="0" xfId="0"/>
    <xf numFmtId="0" fontId="16" fillId="4" borderId="0" pivotButton="0" quotePrefix="0" xfId="0"/>
    <xf numFmtId="1" fontId="16" fillId="0" borderId="2" applyAlignment="1" pivotButton="0" quotePrefix="0" xfId="0">
      <alignment horizontal="left"/>
    </xf>
    <xf numFmtId="0" fontId="16" fillId="6" borderId="0" pivotButton="0" quotePrefix="0" xfId="0"/>
    <xf numFmtId="9" fontId="16" fillId="0" borderId="2" applyAlignment="1" pivotButton="0" quotePrefix="0" xfId="0">
      <alignment horizontal="left"/>
    </xf>
    <xf numFmtId="164" fontId="16" fillId="0" borderId="2" applyAlignment="1" pivotButton="0" quotePrefix="0" xfId="0">
      <alignment horizontal="left"/>
    </xf>
    <xf numFmtId="49" fontId="16" fillId="0" borderId="2" applyAlignment="1" pivotButton="0" quotePrefix="0" xfId="0">
      <alignment horizontal="left"/>
    </xf>
    <xf numFmtId="0" fontId="12" fillId="3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9" fontId="13" fillId="0" borderId="2" applyAlignment="1" pivotButton="0" quotePrefix="0" xfId="0">
      <alignment vertical="top" wrapText="1"/>
    </xf>
    <xf numFmtId="0" fontId="17" fillId="0" borderId="0" pivotButton="0" quotePrefix="0" xfId="0"/>
    <xf numFmtId="0" fontId="16" fillId="0" borderId="2" pivotButton="0" quotePrefix="0" xfId="0"/>
    <xf numFmtId="0" fontId="13" fillId="0" borderId="2" pivotButton="0" quotePrefix="0" xfId="0"/>
    <xf numFmtId="164" fontId="13" fillId="0" borderId="2" pivotButton="0" quotePrefix="0" xfId="0"/>
    <xf numFmtId="0" fontId="16" fillId="0" borderId="0" pivotButton="0" quotePrefix="0" xfId="0"/>
    <xf numFmtId="164" fontId="16" fillId="0" borderId="2" pivotButton="0" quotePrefix="0" xfId="0"/>
    <xf numFmtId="0" fontId="12" fillId="3" borderId="2" pivotButton="0" quotePrefix="0" xfId="0"/>
    <xf numFmtId="0" fontId="20" fillId="0" borderId="2" applyAlignment="1" pivotButton="0" quotePrefix="0" xfId="0">
      <alignment vertical="top" wrapText="1"/>
    </xf>
    <xf numFmtId="0" fontId="21" fillId="0" borderId="2" applyAlignment="1" pivotButton="0" quotePrefix="0" xfId="0">
      <alignment vertical="top" wrapText="1"/>
    </xf>
    <xf numFmtId="164" fontId="21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21" min="1" max="1"/>
    <col width="40" customWidth="1" style="21" min="2" max="2"/>
    <col width="16" customWidth="1" style="21" min="3" max="3"/>
    <col width="10" customWidth="1" style="21" min="4" max="4"/>
    <col width="10" customWidth="1" style="21" min="5" max="5"/>
    <col width="10" customWidth="1" style="21" min="6" max="6"/>
    <col width="12" customWidth="1" style="21" min="7" max="7"/>
    <col width="50" customWidth="1" style="21" min="8" max="8"/>
    <col width="30" customWidth="1" style="21" min="9" max="9"/>
  </cols>
  <sheetData>
    <row r="1">
      <c r="A1" s="22" t="inlineStr">
        <is>
          <t>Painel — fase Audiophile (openaudio-mafw-bebob, macOS 10.13.6)</t>
        </is>
      </c>
    </row>
    <row r="2">
      <c r="A2" s="78" t="inlineStr">
        <is>
          <t>2026-10-21</t>
        </is>
      </c>
    </row>
    <row r="4">
      <c r="A4" s="79" t="inlineStr">
        <is>
          <t>Visão geral</t>
        </is>
      </c>
    </row>
    <row r="5">
      <c r="A5" s="25" t="inlineStr">
        <is>
          <t>Itens rastreados</t>
        </is>
      </c>
      <c r="B5" s="80">
        <f>COUNTA(Itens!$A$2:$A$500)</f>
        <v/>
      </c>
      <c r="D5" s="81" t="inlineStr">
        <is>
          <t>ONDE ESTAMOS</t>
        </is>
      </c>
    </row>
    <row r="6">
      <c r="A6" s="25" t="inlineStr">
        <is>
          <t>Itens fechados</t>
        </is>
      </c>
      <c r="B6" s="80">
        <f>COUNTIF(Itens!$K$2:$K$500,"Consistente")+COUNTIF(Itens!$K$2:$K$500,"Corrigido*")</f>
        <v/>
      </c>
      <c r="D6" s="70" t="inlineStr">
        <is>
          <t>Painel: modo barra de menus (AP-5.5) e medidor grande (AP-5.6) escritos, testes do painel passam; instalador 0.2.0 construído e conferido estaticamente (R118). Duas unidades juntas no iMac feitas (R117).</t>
        </is>
      </c>
    </row>
    <row r="7">
      <c r="A7" s="25" t="inlineStr">
        <is>
          <t>% itens fechados</t>
        </is>
      </c>
      <c r="B7" s="82">
        <f>IFERROR(B6/B5,0)</f>
        <v/>
      </c>
    </row>
    <row r="8">
      <c r="A8" s="25" t="inlineStr">
        <is>
          <t>Itens abertos</t>
        </is>
      </c>
      <c r="B8" s="80">
        <f>COUNTIF(Itens!$K$2:$K$500,"Aberto / não resolvido")</f>
        <v/>
      </c>
    </row>
    <row r="9">
      <c r="A9" s="25" t="inlineStr">
        <is>
          <t>Correções pendentes</t>
        </is>
      </c>
      <c r="B9" s="80">
        <f>COUNTIF(Itens!$K$2:$K$500,"Correção pendente (audit)")</f>
        <v/>
      </c>
    </row>
    <row r="10">
      <c r="A10" s="25" t="inlineStr">
        <is>
          <t>Flags abertas</t>
        </is>
      </c>
      <c r="B10" s="80">
        <f>COUNTIF(Flags_auditoria!$H$2:$H$500,"Aberto")</f>
        <v/>
      </c>
      <c r="D10" s="81" t="inlineStr">
        <is>
          <t>PARA ONDE VAMOS</t>
        </is>
      </c>
    </row>
    <row r="11">
      <c r="A11" s="25" t="inlineStr">
        <is>
          <t>Confiança média (0–10)</t>
        </is>
      </c>
      <c r="B11" s="83">
        <f>IFERROR(AVERAGE(Itens!$L$2:$L$500),0)</f>
        <v/>
      </c>
      <c r="D11" s="70" t="inlineStr">
        <is>
          <t>Próximo: você instala o 0.2.0 no MacBook Air (AP-8.2) e testa o menu de status e o medidor grande; depois README/NOTICE para dois modelos (AP-8.3, rascunho no repositório privado) e o release (AP-8.4, você).</t>
        </is>
      </c>
    </row>
    <row r="12">
      <c r="A12" s="25" t="inlineStr">
        <is>
          <t>Tarefas concluídas</t>
        </is>
      </c>
      <c r="B12" s="84">
        <f>COUNTIF(Build!$F$2:$F$500,"Concluído")&amp;" / "&amp;(COUNTA(Build!$A$2:$A$500)-COUNTIF(Build!$F$2:$F$500,"Cancelado*"))</f>
        <v/>
      </c>
    </row>
    <row r="13">
      <c r="A13" s="25" t="inlineStr">
        <is>
          <t>Aguardando você</t>
        </is>
      </c>
      <c r="B13" s="80">
        <f>COUNTIF(Build!$F$2:$F$500,"Aguarda o usuário")</f>
        <v/>
      </c>
    </row>
    <row r="14">
      <c r="A14" s="25" t="inlineStr">
        <is>
          <t>Progresso do build</t>
        </is>
      </c>
      <c r="B14" s="82">
        <f>IFERROR(COUNTIF(Build!$F$2:$F$500,"Concluído")/(COUNTA(Build!$A$2:$A$500)-COUNTIF(Build!$F$2:$F$500,"Cancelado*")),0)</f>
        <v/>
      </c>
    </row>
    <row r="17">
      <c r="A17" s="79" t="inlineStr">
        <is>
          <t>Roadmap por fase (aba Build)</t>
        </is>
      </c>
    </row>
    <row r="18">
      <c r="A18" s="85" t="inlineStr">
        <is>
          <t>Fase</t>
        </is>
      </c>
      <c r="B18" s="85" t="inlineStr">
        <is>
          <t>Conteúdo</t>
        </is>
      </c>
      <c r="C18" s="85" t="inlineStr">
        <is>
          <t>Estado</t>
        </is>
      </c>
      <c r="D18" s="85" t="inlineStr">
        <is>
          <t>% pronto</t>
        </is>
      </c>
      <c r="E18" s="85" t="inlineStr">
        <is>
          <t>Tarefas</t>
        </is>
      </c>
      <c r="F18" s="85" t="inlineStr">
        <is>
          <t>Concluídas</t>
        </is>
      </c>
      <c r="G18" s="85" t="inlineStr">
        <is>
          <t>Aguardam você</t>
        </is>
      </c>
      <c r="H18" s="85" t="inlineStr">
        <is>
          <t>Próximo passo</t>
        </is>
      </c>
      <c r="I18" s="85" t="inlineStr">
        <is>
          <t>Sessões (plano §8)</t>
        </is>
      </c>
    </row>
    <row r="19">
      <c r="A19" s="86" t="inlineStr">
        <is>
          <t>Decisão</t>
        </is>
      </c>
      <c r="B19" s="34" t="inlineStr">
        <is>
          <t>Decisões Q1–Q5 do plano §9</t>
        </is>
      </c>
      <c r="C19" s="86">
        <f>IF(COUNTIFS(Build!$B$2:$B$500,A19,Build!$F$2:$F$500,"Concluído")=(COUNTIF(Build!$B$2:$B$500,A19)-COUNTIFS(Build!$B$2:$B$500,A19,Build!$F$2:$F$500,"Cancelado*")),"Concluído",IF(COUNTIFS(Build!$B$2:$B$500,A19,Build!$F$2:$F$500,"Em andamento")+COUNTIFS(Build!$B$2:$B$500,A19,Build!$F$2:$F$500,"Concluído")&gt;0,"Em andamento",IF(COUNTIFS(Build!$B$2:$B$500,A19,Build!$F$2:$F$500,"Aguarda o usuário")&gt;0,"Aguarda você","Não iniciado")))</f>
        <v/>
      </c>
      <c r="D19" s="87">
        <f>IFERROR(COUNTIFS(Build!$B$2:$B$500,A19,Build!$F$2:$F$500,"Concluído")/(COUNTIF(Build!$B$2:$B$500,A19)-COUNTIFS(Build!$B$2:$B$500,A19,Build!$F$2:$F$500,"Cancelado*")),0)</f>
        <v/>
      </c>
      <c r="E19" s="34">
        <f>(COUNTIF(Build!$B$2:$B$500,A19)-COUNTIFS(Build!$B$2:$B$500,A19,Build!$F$2:$F$500,"Cancelado*"))</f>
        <v/>
      </c>
      <c r="F19" s="34">
        <f>COUNTIFS(Build!$B$2:$B$500,A19,Build!$F$2:$F$500,"Concluído")</f>
        <v/>
      </c>
      <c r="G19" s="34">
        <f>COUNTIFS(Build!$B$2:$B$500,A19,Build!$F$2:$F$500,"Aguarda o usuário")</f>
        <v/>
      </c>
      <c r="H19" s="34" t="inlineStr">
        <is>
          <t>Responder antes da fase 1</t>
        </is>
      </c>
      <c r="I19" s="34" t="inlineStr">
        <is>
          <t>—</t>
        </is>
      </c>
    </row>
    <row r="20">
      <c r="A20" s="86" t="inlineStr">
        <is>
          <t>0</t>
        </is>
      </c>
      <c r="B20" s="34" t="inlineStr">
        <is>
          <t>Pesquisa estática + capturas no rig SL</t>
        </is>
      </c>
      <c r="C20" s="86">
        <f>IF(COUNTIFS(Build!$B$2:$B$500,A20,Build!$F$2:$F$500,"Concluído")=(COUNTIF(Build!$B$2:$B$500,A20)-COUNTIFS(Build!$B$2:$B$500,A20,Build!$F$2:$F$500,"Cancelado*")),"Concluído",IF(COUNTIFS(Build!$B$2:$B$500,A20,Build!$F$2:$F$500,"Em andamento")+COUNTIFS(Build!$B$2:$B$500,A20,Build!$F$2:$F$500,"Concluído")&gt;0,"Em andamento",IF(COUNTIFS(Build!$B$2:$B$500,A20,Build!$F$2:$F$500,"Aguarda o usuário")&gt;0,"Aguarda você","Não iniciado")))</f>
        <v/>
      </c>
      <c r="D20" s="87">
        <f>IFERROR(COUNTIFS(Build!$B$2:$B$500,A20,Build!$F$2:$F$500,"Concluído")/(COUNTIF(Build!$B$2:$B$500,A20)-COUNTIFS(Build!$B$2:$B$500,A20,Build!$F$2:$F$500,"Cancelado*")),0)</f>
        <v/>
      </c>
      <c r="E20" s="34">
        <f>(COUNTIF(Build!$B$2:$B$500,A20)-COUNTIFS(Build!$B$2:$B$500,A20,Build!$F$2:$F$500,"Cancelado*"))</f>
        <v/>
      </c>
      <c r="F20" s="34">
        <f>COUNTIFS(Build!$B$2:$B$500,A20,Build!$F$2:$F$500,"Concluído")</f>
        <v/>
      </c>
      <c r="G20" s="34">
        <f>COUNTIFS(Build!$B$2:$B$500,A20,Build!$F$2:$F$500,"Aguarda o usuário")</f>
        <v/>
      </c>
      <c r="H20" s="34" t="inlineStr">
        <is>
          <t>Fechar AP-0.2, depois AP-0.3</t>
        </is>
      </c>
      <c r="I20" s="34" t="inlineStr">
        <is>
          <t>2-3 + 1</t>
        </is>
      </c>
    </row>
    <row r="21">
      <c r="A21" s="86" t="inlineStr">
        <is>
          <t>1</t>
        </is>
      </c>
      <c r="B21" s="34" t="inlineStr">
        <is>
          <t>Criar a árvore openaudio-mafw-bebob/ (cópia do 1814)</t>
        </is>
      </c>
      <c r="C21" s="86">
        <f>IF(COUNTIFS(Build!$B$2:$B$500,A21,Build!$F$2:$F$500,"Concluído")=(COUNTIF(Build!$B$2:$B$500,A21)-COUNTIFS(Build!$B$2:$B$500,A21,Build!$F$2:$F$500,"Cancelado*")),"Concluído",IF(COUNTIFS(Build!$B$2:$B$500,A21,Build!$F$2:$F$500,"Em andamento")+COUNTIFS(Build!$B$2:$B$500,A21,Build!$F$2:$F$500,"Concluído")&gt;0,"Em andamento",IF(COUNTIFS(Build!$B$2:$B$500,A21,Build!$F$2:$F$500,"Aguarda o usuário")&gt;0,"Aguarda você","Não iniciado")))</f>
        <v/>
      </c>
      <c r="D21" s="87">
        <f>IFERROR(COUNTIFS(Build!$B$2:$B$500,A21,Build!$F$2:$F$500,"Concluído")/(COUNTIF(Build!$B$2:$B$500,A21)-COUNTIFS(Build!$B$2:$B$500,A21,Build!$F$2:$F$500,"Cancelado*")),0)</f>
        <v/>
      </c>
      <c r="E21" s="34">
        <f>(COUNTIF(Build!$B$2:$B$500,A21)-COUNTIFS(Build!$B$2:$B$500,A21,Build!$F$2:$F$500,"Cancelado*"))</f>
        <v/>
      </c>
      <c r="F21" s="34">
        <f>COUNTIFS(Build!$B$2:$B$500,A21,Build!$F$2:$F$500,"Concluído")</f>
        <v/>
      </c>
      <c r="G21" s="34">
        <f>COUNTIFS(Build!$B$2:$B$500,A21,Build!$F$2:$F$500,"Aguarda o usuário")</f>
        <v/>
      </c>
      <c r="H21" s="34" t="inlineStr">
        <is>
          <t>Depende de Q1/Q2</t>
        </is>
      </c>
      <c r="I21" s="34" t="inlineStr">
        <is>
          <t>1</t>
        </is>
      </c>
    </row>
    <row r="22">
      <c r="A22" s="86" t="inlineStr">
        <is>
          <t>2</t>
        </is>
      </c>
      <c r="B22" s="34" t="inlineStr">
        <is>
          <t>Núcleo agnóstico de modelo + base Rev2</t>
        </is>
      </c>
      <c r="C22" s="86">
        <f>IF(COUNTIFS(Build!$B$2:$B$500,A22,Build!$F$2:$F$500,"Concluído")=(COUNTIF(Build!$B$2:$B$500,A22)-COUNTIFS(Build!$B$2:$B$500,A22,Build!$F$2:$F$500,"Cancelado*")),"Concluído",IF(COUNTIFS(Build!$B$2:$B$500,A22,Build!$F$2:$F$500,"Em andamento")+COUNTIFS(Build!$B$2:$B$500,A22,Build!$F$2:$F$500,"Concluído")&gt;0,"Em andamento",IF(COUNTIFS(Build!$B$2:$B$500,A22,Build!$F$2:$F$500,"Aguarda o usuário")&gt;0,"Aguarda você","Não iniciado")))</f>
        <v/>
      </c>
      <c r="D22" s="87">
        <f>IFERROR(COUNTIFS(Build!$B$2:$B$500,A22,Build!$F$2:$F$500,"Concluído")/(COUNTIF(Build!$B$2:$B$500,A22)-COUNTIFS(Build!$B$2:$B$500,A22,Build!$F$2:$F$500,"Cancelado*")),0)</f>
        <v/>
      </c>
      <c r="E22" s="34">
        <f>(COUNTIF(Build!$B$2:$B$500,A22)-COUNTIFS(Build!$B$2:$B$500,A22,Build!$F$2:$F$500,"Cancelado*"))</f>
        <v/>
      </c>
      <c r="F22" s="34">
        <f>COUNTIFS(Build!$B$2:$B$500,A22,Build!$F$2:$F$500,"Concluído")</f>
        <v/>
      </c>
      <c r="G22" s="34">
        <f>COUNTIFS(Build!$B$2:$B$500,A22,Build!$F$2:$F$500,"Aguarda o usuário")</f>
        <v/>
      </c>
      <c r="H22" s="34" t="inlineStr">
        <is>
          <t>—</t>
        </is>
      </c>
      <c r="I22" s="34" t="inlineStr">
        <is>
          <t>2-3</t>
        </is>
      </c>
    </row>
    <row r="23">
      <c r="A23" s="86" t="inlineStr">
        <is>
          <t>3</t>
        </is>
      </c>
      <c r="B23" s="34" t="inlineStr">
        <is>
          <t>Kext do Audiophile</t>
        </is>
      </c>
      <c r="C23" s="86">
        <f>IF(COUNTIFS(Build!$B$2:$B$500,A23,Build!$F$2:$F$500,"Concluído")=(COUNTIF(Build!$B$2:$B$500,A23)-COUNTIFS(Build!$B$2:$B$500,A23,Build!$F$2:$F$500,"Cancelado*")),"Concluído",IF(COUNTIFS(Build!$B$2:$B$500,A23,Build!$F$2:$F$500,"Em andamento")+COUNTIFS(Build!$B$2:$B$500,A23,Build!$F$2:$F$500,"Concluído")&gt;0,"Em andamento",IF(COUNTIFS(Build!$B$2:$B$500,A23,Build!$F$2:$F$500,"Aguarda o usuário")&gt;0,"Aguarda você","Não iniciado")))</f>
        <v/>
      </c>
      <c r="D23" s="87">
        <f>IFERROR(COUNTIFS(Build!$B$2:$B$500,A23,Build!$F$2:$F$500,"Concluído")/(COUNTIF(Build!$B$2:$B$500,A23)-COUNTIFS(Build!$B$2:$B$500,A23,Build!$F$2:$F$500,"Cancelado*")),0)</f>
        <v/>
      </c>
      <c r="E23" s="34">
        <f>(COUNTIF(Build!$B$2:$B$500,A23)-COUNTIFS(Build!$B$2:$B$500,A23,Build!$F$2:$F$500,"Cancelado*"))</f>
        <v/>
      </c>
      <c r="F23" s="34">
        <f>COUNTIFS(Build!$B$2:$B$500,A23,Build!$F$2:$F$500,"Concluído")</f>
        <v/>
      </c>
      <c r="G23" s="34">
        <f>COUNTIFS(Build!$B$2:$B$500,A23,Build!$F$2:$F$500,"Aguarda o usuário")</f>
        <v/>
      </c>
      <c r="H23" s="34" t="inlineStr">
        <is>
          <t>—</t>
        </is>
      </c>
      <c r="I23" s="34" t="inlineStr">
        <is>
          <t>3-5</t>
        </is>
      </c>
    </row>
    <row r="24">
      <c r="A24" s="86" t="inlineStr">
        <is>
          <t>4</t>
        </is>
      </c>
      <c r="B24" s="34" t="inlineStr">
        <is>
          <t>Helper (.bcd por offsets, tabela de produtos)</t>
        </is>
      </c>
      <c r="C24" s="86">
        <f>IF(COUNTIFS(Build!$B$2:$B$500,A24,Build!$F$2:$F$500,"Concluído")=(COUNTIF(Build!$B$2:$B$500,A24)-COUNTIFS(Build!$B$2:$B$500,A24,Build!$F$2:$F$500,"Cancelado*")),"Concluído",IF(COUNTIFS(Build!$B$2:$B$500,A24,Build!$F$2:$F$500,"Em andamento")+COUNTIFS(Build!$B$2:$B$500,A24,Build!$F$2:$F$500,"Concluído")&gt;0,"Em andamento",IF(COUNTIFS(Build!$B$2:$B$500,A24,Build!$F$2:$F$500,"Aguarda o usuário")&gt;0,"Aguarda você","Não iniciado")))</f>
        <v/>
      </c>
      <c r="D24" s="87">
        <f>IFERROR(COUNTIFS(Build!$B$2:$B$500,A24,Build!$F$2:$F$500,"Concluído")/(COUNTIF(Build!$B$2:$B$500,A24)-COUNTIFS(Build!$B$2:$B$500,A24,Build!$F$2:$F$500,"Cancelado*")),0)</f>
        <v/>
      </c>
      <c r="E24" s="34">
        <f>(COUNTIF(Build!$B$2:$B$500,A24)-COUNTIFS(Build!$B$2:$B$500,A24,Build!$F$2:$F$500,"Cancelado*"))</f>
        <v/>
      </c>
      <c r="F24" s="34">
        <f>COUNTIFS(Build!$B$2:$B$500,A24,Build!$F$2:$F$500,"Concluído")</f>
        <v/>
      </c>
      <c r="G24" s="34">
        <f>COUNTIFS(Build!$B$2:$B$500,A24,Build!$F$2:$F$500,"Aguarda o usuário")</f>
        <v/>
      </c>
      <c r="H24" s="34" t="inlineStr">
        <is>
          <t>—</t>
        </is>
      </c>
      <c r="I24" s="34" t="inlineStr">
        <is>
          <t>1</t>
        </is>
      </c>
    </row>
    <row r="25">
      <c r="A25" s="86" t="inlineStr">
        <is>
          <t>5</t>
        </is>
      </c>
      <c r="B25" s="34" t="inlineStr">
        <is>
          <t>Painel por descritores + telas do Audiophile</t>
        </is>
      </c>
      <c r="C25" s="86">
        <f>IF(COUNTIFS(Build!$B$2:$B$500,A25,Build!$F$2:$F$500,"Concluído")=(COUNTIF(Build!$B$2:$B$500,A25)-COUNTIFS(Build!$B$2:$B$500,A25,Build!$F$2:$F$500,"Cancelado*")),"Concluído",IF(COUNTIFS(Build!$B$2:$B$500,A25,Build!$F$2:$F$500,"Em andamento")+COUNTIFS(Build!$B$2:$B$500,A25,Build!$F$2:$F$500,"Concluído")&gt;0,"Em andamento",IF(COUNTIFS(Build!$B$2:$B$500,A25,Build!$F$2:$F$500,"Aguarda o usuário")&gt;0,"Aguarda você","Não iniciado")))</f>
        <v/>
      </c>
      <c r="D25" s="87">
        <f>IFERROR(COUNTIFS(Build!$B$2:$B$500,A25,Build!$F$2:$F$500,"Concluído")/(COUNTIF(Build!$B$2:$B$500,A25)-COUNTIFS(Build!$B$2:$B$500,A25,Build!$F$2:$F$500,"Cancelado*")),0)</f>
        <v/>
      </c>
      <c r="E25" s="34">
        <f>(COUNTIF(Build!$B$2:$B$500,A25)-COUNTIFS(Build!$B$2:$B$500,A25,Build!$F$2:$F$500,"Cancelado*"))</f>
        <v/>
      </c>
      <c r="F25" s="34">
        <f>COUNTIFS(Build!$B$2:$B$500,A25,Build!$F$2:$F$500,"Concluído")</f>
        <v/>
      </c>
      <c r="G25" s="34">
        <f>COUNTIFS(Build!$B$2:$B$500,A25,Build!$F$2:$F$500,"Aguarda o usuário")</f>
        <v/>
      </c>
      <c r="H25" s="34" t="inlineStr">
        <is>
          <t>—</t>
        </is>
      </c>
      <c r="I25" s="34" t="inlineStr">
        <is>
          <t>3-4</t>
        </is>
      </c>
    </row>
    <row r="26">
      <c r="A26" s="86" t="inlineStr">
        <is>
          <t>6</t>
        </is>
      </c>
      <c r="B26" s="34" t="inlineStr">
        <is>
          <t>MIDI</t>
        </is>
      </c>
      <c r="C26" s="86">
        <f>IF(COUNTIFS(Build!$B$2:$B$500,A26,Build!$F$2:$F$500,"Concluído")=(COUNTIF(Build!$B$2:$B$500,A26)-COUNTIFS(Build!$B$2:$B$500,A26,Build!$F$2:$F$500,"Cancelado*")),"Concluído",IF(COUNTIFS(Build!$B$2:$B$500,A26,Build!$F$2:$F$500,"Em andamento")+COUNTIFS(Build!$B$2:$B$500,A26,Build!$F$2:$F$500,"Concluído")&gt;0,"Em andamento",IF(COUNTIFS(Build!$B$2:$B$500,A26,Build!$F$2:$F$500,"Aguarda o usuário")&gt;0,"Aguarda você","Não iniciado")))</f>
        <v/>
      </c>
      <c r="D26" s="87">
        <f>IFERROR(COUNTIFS(Build!$B$2:$B$500,A26,Build!$F$2:$F$500,"Concluído")/(COUNTIF(Build!$B$2:$B$500,A26)-COUNTIFS(Build!$B$2:$B$500,A26,Build!$F$2:$F$500,"Cancelado*")),0)</f>
        <v/>
      </c>
      <c r="E26" s="34">
        <f>(COUNTIF(Build!$B$2:$B$500,A26)-COUNTIFS(Build!$B$2:$B$500,A26,Build!$F$2:$F$500,"Cancelado*"))</f>
        <v/>
      </c>
      <c r="F26" s="34">
        <f>COUNTIFS(Build!$B$2:$B$500,A26,Build!$F$2:$F$500,"Concluído")</f>
        <v/>
      </c>
      <c r="G26" s="34">
        <f>COUNTIFS(Build!$B$2:$B$500,A26,Build!$F$2:$F$500,"Aguarda o usuário")</f>
        <v/>
      </c>
      <c r="H26" s="34" t="inlineStr">
        <is>
          <t>—</t>
        </is>
      </c>
      <c r="I26" s="34" t="inlineStr">
        <is>
          <t>0.5</t>
        </is>
      </c>
    </row>
    <row r="27">
      <c r="A27" s="86" t="inlineStr">
        <is>
          <t>7</t>
        </is>
      </c>
      <c r="B27" s="34" t="inlineStr">
        <is>
          <t>Escada de hardware (um teste integrado)</t>
        </is>
      </c>
      <c r="C27" s="86">
        <f>IF(COUNTIFS(Build!$B$2:$B$500,A27,Build!$F$2:$F$500,"Concluído")=(COUNTIF(Build!$B$2:$B$500,A27)-COUNTIFS(Build!$B$2:$B$500,A27,Build!$F$2:$F$500,"Cancelado*")),"Concluído",IF(COUNTIFS(Build!$B$2:$B$500,A27,Build!$F$2:$F$500,"Em andamento")+COUNTIFS(Build!$B$2:$B$500,A27,Build!$F$2:$F$500,"Concluído")&gt;0,"Em andamento",IF(COUNTIFS(Build!$B$2:$B$500,A27,Build!$F$2:$F$500,"Aguarda o usuário")&gt;0,"Aguarda você","Não iniciado")))</f>
        <v/>
      </c>
      <c r="D27" s="87">
        <f>IFERROR(COUNTIFS(Build!$B$2:$B$500,A27,Build!$F$2:$F$500,"Concluído")/(COUNTIF(Build!$B$2:$B$500,A27)-COUNTIFS(Build!$B$2:$B$500,A27,Build!$F$2:$F$500,"Cancelado*")),0)</f>
        <v/>
      </c>
      <c r="E27" s="34">
        <f>(COUNTIF(Build!$B$2:$B$500,A27)-COUNTIFS(Build!$B$2:$B$500,A27,Build!$F$2:$F$500,"Cancelado*"))</f>
        <v/>
      </c>
      <c r="F27" s="34">
        <f>COUNTIFS(Build!$B$2:$B$500,A27,Build!$F$2:$F$500,"Concluído")</f>
        <v/>
      </c>
      <c r="G27" s="34">
        <f>COUNTIFS(Build!$B$2:$B$500,A27,Build!$F$2:$F$500,"Aguarda o usuário")</f>
        <v/>
      </c>
      <c r="H27" s="34" t="inlineStr">
        <is>
          <t>Regra do avião</t>
        </is>
      </c>
      <c r="I27" s="34" t="inlineStr">
        <is>
          <t>3-4</t>
        </is>
      </c>
    </row>
    <row r="28">
      <c r="A28" s="86" t="inlineStr">
        <is>
          <t>8</t>
        </is>
      </c>
      <c r="B28" s="34" t="inlineStr">
        <is>
          <t>Regressão do 1814, instalador, docs</t>
        </is>
      </c>
      <c r="C28" s="86">
        <f>IF(COUNTIFS(Build!$B$2:$B$500,A28,Build!$F$2:$F$500,"Concluído")=(COUNTIF(Build!$B$2:$B$500,A28)-COUNTIFS(Build!$B$2:$B$500,A28,Build!$F$2:$F$500,"Cancelado*")),"Concluído",IF(COUNTIFS(Build!$B$2:$B$500,A28,Build!$F$2:$F$500,"Em andamento")+COUNTIFS(Build!$B$2:$B$500,A28,Build!$F$2:$F$500,"Concluído")&gt;0,"Em andamento",IF(COUNTIFS(Build!$B$2:$B$500,A28,Build!$F$2:$F$500,"Aguarda o usuário")&gt;0,"Aguarda você","Não iniciado")))</f>
        <v/>
      </c>
      <c r="D28" s="87">
        <f>IFERROR(COUNTIFS(Build!$B$2:$B$500,A28,Build!$F$2:$F$500,"Concluído")/(COUNTIF(Build!$B$2:$B$500,A28)-COUNTIFS(Build!$B$2:$B$500,A28,Build!$F$2:$F$500,"Cancelado*")),0)</f>
        <v/>
      </c>
      <c r="E28" s="34">
        <f>(COUNTIF(Build!$B$2:$B$500,A28)-COUNTIFS(Build!$B$2:$B$500,A28,Build!$F$2:$F$500,"Cancelado*"))</f>
        <v/>
      </c>
      <c r="F28" s="34">
        <f>COUNTIFS(Build!$B$2:$B$500,A28,Build!$F$2:$F$500,"Concluído")</f>
        <v/>
      </c>
      <c r="G28" s="34">
        <f>COUNTIFS(Build!$B$2:$B$500,A28,Build!$F$2:$F$500,"Aguarda o usuário")</f>
        <v/>
      </c>
      <c r="H28" s="34" t="inlineStr">
        <is>
          <t>—</t>
        </is>
      </c>
      <c r="I28" s="34" t="inlineStr">
        <is>
          <t>2-3</t>
        </is>
      </c>
    </row>
  </sheetData>
  <mergeCells count="6">
    <mergeCell ref="D10:I10"/>
    <mergeCell ref="D11:I14"/>
    <mergeCell ref="D5:I5"/>
    <mergeCell ref="A17:I17"/>
    <mergeCell ref="A4:I4"/>
    <mergeCell ref="D6:I9"/>
  </mergeCells>
  <conditionalFormatting sqref="D19:D28">
    <cfRule type="dataBar" priority="1">
      <dataBar>
        <cfvo type="num" val="0"/>
        <cfvo type="num" val="1"/>
        <color rgb="0063BE7B"/>
      </dataBar>
    </cfRule>
  </conditionalFormatting>
  <conditionalFormatting sqref="C19:C28">
    <cfRule type="cellIs" priority="2" operator="equal" dxfId="13">
      <formula>"Concluído"</formula>
    </cfRule>
    <cfRule type="cellIs" priority="3" operator="equal" dxfId="14">
      <formula>"Em andamento"</formula>
    </cfRule>
    <cfRule type="cellIs" priority="4" operator="equal" dxfId="15">
      <formula>"Aguarda você"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51" min="1" max="1"/>
    <col width="10" customWidth="1" style="51" min="2" max="2"/>
    <col width="13" customWidth="1" style="51" min="3" max="10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10" customWidth="1" style="21" min="8" max="8"/>
    <col width="11" customWidth="1" style="21" min="9" max="9"/>
    <col width="11" customWidth="1" style="21" min="10" max="10"/>
  </cols>
  <sheetData>
    <row r="1" ht="16.15" customHeight="1" s="21">
      <c r="A1" s="88" t="inlineStr">
        <is>
          <t>Matriz de proveniência — fase Audiophile (openaudio-mafw-bebob)</t>
        </is>
      </c>
    </row>
    <row r="2" ht="15" customHeight="1" s="21">
      <c r="A2" s="78" t="inlineStr">
        <is>
          <t>Tudo nesta aba é fórmula sobre as abas Itens e Flags_auditoria.</t>
        </is>
      </c>
    </row>
    <row r="4" ht="30" customHeight="1" s="21">
      <c r="A4" s="85" t="inlineStr">
        <is>
          <t>Parte</t>
        </is>
      </c>
      <c r="B4" s="85" t="inlineStr">
        <is>
          <t>Itens</t>
        </is>
      </c>
      <c r="C4" s="85" t="inlineStr">
        <is>
          <t>Confiança média</t>
        </is>
      </c>
      <c r="D4" s="85" t="inlineStr">
        <is>
          <t>Byte-level = Sim</t>
        </is>
      </c>
      <c r="E4" s="85" t="inlineStr">
        <is>
          <t>Hardware live = Sim</t>
        </is>
      </c>
      <c r="F4" s="85" t="inlineStr">
        <is>
          <t>Especulativo = Sim</t>
        </is>
      </c>
      <c r="G4" s="85" t="inlineStr">
        <is>
          <t>Correção pendente</t>
        </is>
      </c>
      <c r="H4" s="85" t="inlineStr">
        <is>
          <t>Aberto</t>
        </is>
      </c>
      <c r="I4" s="85" t="inlineStr">
        <is>
          <t>Confiança ≤ 3</t>
        </is>
      </c>
      <c r="J4" s="85" t="inlineStr">
        <is>
          <t>Confiança ≥ 7</t>
        </is>
      </c>
    </row>
    <row r="5" ht="15" customHeight="1" s="21">
      <c r="A5" s="89" t="inlineStr">
        <is>
          <t>AP-0.1</t>
        </is>
      </c>
      <c r="B5" s="90">
        <f>COUNTIF(Itens!$B$2:$B$500,A5)</f>
        <v/>
      </c>
      <c r="C5" s="91">
        <f>IFERROR(AVERAGEIF(Itens!$B$2:$B$500,A5,Itens!$L$2:$L$500),0)</f>
        <v/>
      </c>
      <c r="D5" s="90">
        <f>COUNTIFS(Itens!$B$2:$B$500,A5,Itens!$E$2:$E$500,"Sim")</f>
        <v/>
      </c>
      <c r="E5" s="90">
        <f>COUNTIFS(Itens!$B$2:$B$500,A5,Itens!$F$2:$F$500,"Sim")</f>
        <v/>
      </c>
      <c r="F5" s="90">
        <f>COUNTIFS(Itens!$B$2:$B$500,A5,Itens!$H$2:$H$500,"Sim")</f>
        <v/>
      </c>
      <c r="G5" s="90">
        <f>COUNTIFS(Itens!$B$2:$B$500,A5,Itens!$K$2:$K$500,"Correção pendente (audit)")</f>
        <v/>
      </c>
      <c r="H5" s="90">
        <f>COUNTIFS(Itens!$B$2:$B$500,A5,Itens!$K$2:$K$500,"Aberto / não resolvido")</f>
        <v/>
      </c>
      <c r="I5" s="90">
        <f>COUNTIFS(Itens!$B$2:$B$500,A5,Itens!$L$2:$L$500,"&lt;=3")</f>
        <v/>
      </c>
      <c r="J5" s="90">
        <f>COUNTIFS(Itens!$B$2:$B$500,A5,Itens!$L$2:$L$500,"&gt;=7")</f>
        <v/>
      </c>
    </row>
    <row r="6" ht="15" customHeight="1" s="21">
      <c r="A6" s="89" t="inlineStr">
        <is>
          <t>AP-0.2</t>
        </is>
      </c>
      <c r="B6" s="90">
        <f>COUNTIF(Itens!$B$2:$B$500,A6)</f>
        <v/>
      </c>
      <c r="C6" s="91">
        <f>IFERROR(AVERAGEIF(Itens!$B$2:$B$500,A6,Itens!$L$2:$L$500),0)</f>
        <v/>
      </c>
      <c r="D6" s="90">
        <f>COUNTIFS(Itens!$B$2:$B$500,A6,Itens!$E$2:$E$500,"Sim")</f>
        <v/>
      </c>
      <c r="E6" s="90">
        <f>COUNTIFS(Itens!$B$2:$B$500,A6,Itens!$F$2:$F$500,"Sim")</f>
        <v/>
      </c>
      <c r="F6" s="90">
        <f>COUNTIFS(Itens!$B$2:$B$500,A6,Itens!$H$2:$H$500,"Sim")</f>
        <v/>
      </c>
      <c r="G6" s="90">
        <f>COUNTIFS(Itens!$B$2:$B$500,A6,Itens!$K$2:$K$500,"Correção pendente (audit)")</f>
        <v/>
      </c>
      <c r="H6" s="90">
        <f>COUNTIFS(Itens!$B$2:$B$500,A6,Itens!$K$2:$K$500,"Aberto / não resolvido")</f>
        <v/>
      </c>
      <c r="I6" s="90">
        <f>COUNTIFS(Itens!$B$2:$B$500,A6,Itens!$L$2:$L$500,"&lt;=3")</f>
        <v/>
      </c>
      <c r="J6" s="90">
        <f>COUNTIFS(Itens!$B$2:$B$500,A6,Itens!$L$2:$L$500,"&gt;=7")</f>
        <v/>
      </c>
    </row>
    <row r="7" ht="15" customHeight="1" s="21">
      <c r="A7" s="89" t="inlineStr">
        <is>
          <t>AP-0.3</t>
        </is>
      </c>
      <c r="B7" s="90">
        <f>COUNTIF(Itens!$B$2:$B$500,A7)</f>
        <v/>
      </c>
      <c r="C7" s="91">
        <f>IFERROR(AVERAGEIF(Itens!$B$2:$B$500,A7,Itens!$L$2:$L$500),0)</f>
        <v/>
      </c>
      <c r="D7" s="90">
        <f>COUNTIFS(Itens!$B$2:$B$500,A7,Itens!$E$2:$E$500,"Sim")</f>
        <v/>
      </c>
      <c r="E7" s="90">
        <f>COUNTIFS(Itens!$B$2:$B$500,A7,Itens!$F$2:$F$500,"Sim")</f>
        <v/>
      </c>
      <c r="F7" s="90">
        <f>COUNTIFS(Itens!$B$2:$B$500,A7,Itens!$H$2:$H$500,"Sim")</f>
        <v/>
      </c>
      <c r="G7" s="90">
        <f>COUNTIFS(Itens!$B$2:$B$500,A7,Itens!$K$2:$K$500,"Correção pendente (audit)")</f>
        <v/>
      </c>
      <c r="H7" s="90">
        <f>COUNTIFS(Itens!$B$2:$B$500,A7,Itens!$K$2:$K$500,"Aberto / não resolvido")</f>
        <v/>
      </c>
      <c r="I7" s="90">
        <f>COUNTIFS(Itens!$B$2:$B$500,A7,Itens!$L$2:$L$500,"&lt;=3")</f>
        <v/>
      </c>
      <c r="J7" s="90">
        <f>COUNTIFS(Itens!$B$2:$B$500,A7,Itens!$L$2:$L$500,"&gt;=7")</f>
        <v/>
      </c>
    </row>
    <row r="8" ht="15" customHeight="1" s="21">
      <c r="A8" s="89" t="inlineStr">
        <is>
          <t>AP-0.4</t>
        </is>
      </c>
      <c r="B8" s="90">
        <f>COUNTIF(Itens!$B$2:$B$500,A8)</f>
        <v/>
      </c>
      <c r="C8" s="91">
        <f>IFERROR(AVERAGEIF(Itens!$B$2:$B$500,A8,Itens!$L$2:$L$500),0)</f>
        <v/>
      </c>
      <c r="D8" s="90">
        <f>COUNTIFS(Itens!$B$2:$B$500,A8,Itens!$E$2:$E$500,"Sim")</f>
        <v/>
      </c>
      <c r="E8" s="90">
        <f>COUNTIFS(Itens!$B$2:$B$500,A8,Itens!$F$2:$F$500,"Sim")</f>
        <v/>
      </c>
      <c r="F8" s="90">
        <f>COUNTIFS(Itens!$B$2:$B$500,A8,Itens!$H$2:$H$500,"Sim")</f>
        <v/>
      </c>
      <c r="G8" s="90">
        <f>COUNTIFS(Itens!$B$2:$B$500,A8,Itens!$K$2:$K$500,"Correção pendente (audit)")</f>
        <v/>
      </c>
      <c r="H8" s="90">
        <f>COUNTIFS(Itens!$B$2:$B$500,A8,Itens!$K$2:$K$500,"Aberto / não resolvido")</f>
        <v/>
      </c>
      <c r="I8" s="90">
        <f>COUNTIFS(Itens!$B$2:$B$500,A8,Itens!$L$2:$L$500,"&lt;=3")</f>
        <v/>
      </c>
      <c r="J8" s="90">
        <f>COUNTIFS(Itens!$B$2:$B$500,A8,Itens!$L$2:$L$500,"&gt;=7")</f>
        <v/>
      </c>
    </row>
    <row r="9" ht="15" customHeight="1" s="21">
      <c r="A9" s="89" t="inlineStr">
        <is>
          <t>AP-0.5</t>
        </is>
      </c>
      <c r="B9" s="90">
        <f>COUNTIF(Itens!$B$2:$B$500,A9)</f>
        <v/>
      </c>
      <c r="C9" s="91">
        <f>IFERROR(AVERAGEIF(Itens!$B$2:$B$500,A9,Itens!$L$2:$L$500),0)</f>
        <v/>
      </c>
      <c r="D9" s="90">
        <f>COUNTIFS(Itens!$B$2:$B$500,A9,Itens!$E$2:$E$500,"Sim")</f>
        <v/>
      </c>
      <c r="E9" s="90">
        <f>COUNTIFS(Itens!$B$2:$B$500,A9,Itens!$F$2:$F$500,"Sim")</f>
        <v/>
      </c>
      <c r="F9" s="90">
        <f>COUNTIFS(Itens!$B$2:$B$500,A9,Itens!$H$2:$H$500,"Sim")</f>
        <v/>
      </c>
      <c r="G9" s="90">
        <f>COUNTIFS(Itens!$B$2:$B$500,A9,Itens!$K$2:$K$500,"Correção pendente (audit)")</f>
        <v/>
      </c>
      <c r="H9" s="90">
        <f>COUNTIFS(Itens!$B$2:$B$500,A9,Itens!$K$2:$K$500,"Aberto / não resolvido")</f>
        <v/>
      </c>
      <c r="I9" s="90">
        <f>COUNTIFS(Itens!$B$2:$B$500,A9,Itens!$L$2:$L$500,"&lt;=3")</f>
        <v/>
      </c>
      <c r="J9" s="90">
        <f>COUNTIFS(Itens!$B$2:$B$500,A9,Itens!$L$2:$L$500,"&gt;=7")</f>
        <v/>
      </c>
    </row>
    <row r="10" ht="15" customHeight="1" s="21">
      <c r="A10" s="89" t="inlineStr">
        <is>
          <t>AP-0.6</t>
        </is>
      </c>
      <c r="B10" s="90">
        <f>COUNTIF(Itens!$B$2:$B$500,A10)</f>
        <v/>
      </c>
      <c r="C10" s="91">
        <f>IFERROR(AVERAGEIF(Itens!$B$2:$B$500,A10,Itens!$L$2:$L$500),0)</f>
        <v/>
      </c>
      <c r="D10" s="90">
        <f>COUNTIFS(Itens!$B$2:$B$500,A10,Itens!$E$2:$E$500,"Sim")</f>
        <v/>
      </c>
      <c r="E10" s="90">
        <f>COUNTIFS(Itens!$B$2:$B$500,A10,Itens!$F$2:$F$500,"Sim")</f>
        <v/>
      </c>
      <c r="F10" s="90">
        <f>COUNTIFS(Itens!$B$2:$B$500,A10,Itens!$H$2:$H$500,"Sim")</f>
        <v/>
      </c>
      <c r="G10" s="90">
        <f>COUNTIFS(Itens!$B$2:$B$500,A10,Itens!$K$2:$K$500,"Correção pendente (audit)")</f>
        <v/>
      </c>
      <c r="H10" s="90">
        <f>COUNTIFS(Itens!$B$2:$B$500,A10,Itens!$K$2:$K$500,"Aberto / não resolvido")</f>
        <v/>
      </c>
      <c r="I10" s="90">
        <f>COUNTIFS(Itens!$B$2:$B$500,A10,Itens!$L$2:$L$500,"&lt;=3")</f>
        <v/>
      </c>
      <c r="J10" s="90">
        <f>COUNTIFS(Itens!$B$2:$B$500,A10,Itens!$L$2:$L$500,"&gt;=7")</f>
        <v/>
      </c>
    </row>
    <row r="11" ht="15" customHeight="1" s="21">
      <c r="A11" s="89" t="inlineStr">
        <is>
          <t>AP-0.7</t>
        </is>
      </c>
      <c r="B11" s="90">
        <f>COUNTIF(Itens!$B$2:$B$500,A11)</f>
        <v/>
      </c>
      <c r="C11" s="91">
        <f>IFERROR(AVERAGEIF(Itens!$B$2:$B$500,A11,Itens!$L$2:$L$500),0)</f>
        <v/>
      </c>
      <c r="D11" s="90">
        <f>COUNTIFS(Itens!$B$2:$B$500,A11,Itens!$E$2:$E$500,"Sim")</f>
        <v/>
      </c>
      <c r="E11" s="90">
        <f>COUNTIFS(Itens!$B$2:$B$500,A11,Itens!$F$2:$F$500,"Sim")</f>
        <v/>
      </c>
      <c r="F11" s="90">
        <f>COUNTIFS(Itens!$B$2:$B$500,A11,Itens!$H$2:$H$500,"Sim")</f>
        <v/>
      </c>
      <c r="G11" s="90">
        <f>COUNTIFS(Itens!$B$2:$B$500,A11,Itens!$K$2:$K$500,"Correção pendente (audit)")</f>
        <v/>
      </c>
      <c r="H11" s="90">
        <f>COUNTIFS(Itens!$B$2:$B$500,A11,Itens!$K$2:$K$500,"Aberto / não resolvido")</f>
        <v/>
      </c>
      <c r="I11" s="90">
        <f>COUNTIFS(Itens!$B$2:$B$500,A11,Itens!$L$2:$L$500,"&lt;=3")</f>
        <v/>
      </c>
      <c r="J11" s="90">
        <f>COUNTIFS(Itens!$B$2:$B$500,A11,Itens!$L$2:$L$500,"&gt;=7")</f>
        <v/>
      </c>
    </row>
    <row r="12" ht="15" customHeight="1" s="21">
      <c r="A12" s="89" t="inlineStr">
        <is>
          <t>AP-0.9</t>
        </is>
      </c>
      <c r="B12" s="90">
        <f>COUNTIF(Itens!$B$2:$B$500,A12)</f>
        <v/>
      </c>
      <c r="C12" s="91">
        <f>IFERROR(AVERAGEIF(Itens!$B$2:$B$500,A12,Itens!$L$2:$L$500),0)</f>
        <v/>
      </c>
      <c r="D12" s="90">
        <f>COUNTIFS(Itens!$B$2:$B$500,A12,Itens!$E$2:$E$500,"Sim")</f>
        <v/>
      </c>
      <c r="E12" s="90">
        <f>COUNTIFS(Itens!$B$2:$B$500,A12,Itens!$F$2:$F$500,"Sim")</f>
        <v/>
      </c>
      <c r="F12" s="90">
        <f>COUNTIFS(Itens!$B$2:$B$500,A12,Itens!$H$2:$H$500,"Sim")</f>
        <v/>
      </c>
      <c r="G12" s="90">
        <f>COUNTIFS(Itens!$B$2:$B$500,A12,Itens!$K$2:$K$500,"Correção pendente (audit)")</f>
        <v/>
      </c>
      <c r="H12" s="90">
        <f>COUNTIFS(Itens!$B$2:$B$500,A12,Itens!$K$2:$K$500,"Aberto / não resolvido")</f>
        <v/>
      </c>
      <c r="I12" s="90">
        <f>COUNTIFS(Itens!$B$2:$B$500,A12,Itens!$L$2:$L$500,"&lt;=3")</f>
        <v/>
      </c>
      <c r="J12" s="90">
        <f>COUNTIFS(Itens!$B$2:$B$500,A12,Itens!$L$2:$L$500,"&gt;=7")</f>
        <v/>
      </c>
    </row>
    <row r="13" ht="15" customHeight="1" s="21">
      <c r="A13" s="92" t="inlineStr">
        <is>
          <t>Total</t>
        </is>
      </c>
      <c r="B13" s="89">
        <f>SUM(B5:B12)</f>
        <v/>
      </c>
      <c r="C13" s="93">
        <f>AVERAGE(Itens!$L$2:$L$500)</f>
        <v/>
      </c>
      <c r="D13" s="89">
        <f>SUM(D5:D12)</f>
        <v/>
      </c>
      <c r="E13" s="89">
        <f>SUM(E5:E12)</f>
        <v/>
      </c>
      <c r="F13" s="89">
        <f>SUM(F5:F12)</f>
        <v/>
      </c>
      <c r="G13" s="89">
        <f>SUM(G5:G12)</f>
        <v/>
      </c>
      <c r="H13" s="89">
        <f>SUM(H5:H12)</f>
        <v/>
      </c>
      <c r="I13" s="89">
        <f>SUM(I5:I12)</f>
        <v/>
      </c>
      <c r="J13" s="89">
        <f>SUM(J5:J12)</f>
        <v/>
      </c>
    </row>
    <row r="14" ht="15" customHeight="1" s="21"/>
    <row r="15" ht="15" customHeight="1" s="21">
      <c r="A15" s="92" t="inlineStr">
        <is>
          <t>Flags do audit por severidade</t>
        </is>
      </c>
    </row>
    <row r="16" ht="15" customHeight="1" s="21">
      <c r="A16" s="94" t="inlineStr">
        <is>
          <t>Severidade</t>
        </is>
      </c>
      <c r="B16" s="94" t="inlineStr">
        <is>
          <t>Total</t>
        </is>
      </c>
      <c r="C16" s="94" t="inlineStr">
        <is>
          <t>Abertas</t>
        </is>
      </c>
      <c r="D16" s="94" t="inlineStr">
        <is>
          <t>Resolvidas</t>
        </is>
      </c>
    </row>
    <row r="17" ht="15" customHeight="1" s="21">
      <c r="A17" s="90" t="inlineStr">
        <is>
          <t>alta</t>
        </is>
      </c>
      <c r="B17" s="90">
        <f>COUNTIF(Flags_auditoria!$F$2:$F$500,A17)</f>
        <v/>
      </c>
      <c r="C17" s="90">
        <f>COUNTIFS(Flags_auditoria!$F$2:$F$500,A17,Flags_auditoria!$H$2:$H$500,"Aberto")</f>
        <v/>
      </c>
      <c r="D17" s="90">
        <f>COUNTIFS(Flags_auditoria!$F$2:$F$500,A17,Flags_auditoria!$H$2:$H$500,"Resolvido")</f>
        <v/>
      </c>
    </row>
    <row r="18" ht="15" customHeight="1" s="21">
      <c r="A18" s="90" t="inlineStr">
        <is>
          <t>média</t>
        </is>
      </c>
      <c r="B18" s="90">
        <f>COUNTIF(Flags_auditoria!$F$2:$F$500,A18)</f>
        <v/>
      </c>
      <c r="C18" s="90">
        <f>COUNTIFS(Flags_auditoria!$F$2:$F$500,A18,Flags_auditoria!$H$2:$H$500,"Aberto")</f>
        <v/>
      </c>
      <c r="D18" s="90">
        <f>COUNTIFS(Flags_auditoria!$F$2:$F$500,A18,Flags_auditoria!$H$2:$H$500,"Resolvido")</f>
        <v/>
      </c>
    </row>
    <row r="19" ht="15" customHeight="1" s="21">
      <c r="A19" s="90" t="inlineStr">
        <is>
          <t>baixa</t>
        </is>
      </c>
      <c r="B19" s="90">
        <f>COUNTIF(Flags_auditoria!$F$2:$F$500,A19)</f>
        <v/>
      </c>
      <c r="C19" s="90">
        <f>COUNTIFS(Flags_auditoria!$F$2:$F$500,A19,Flags_auditoria!$H$2:$H$500,"Aberto")</f>
        <v/>
      </c>
      <c r="D19" s="90">
        <f>COUNTIFS(Flags_auditoria!$F$2:$F$500,A19,Flags_auditoria!$H$2:$H$500,"Resolvido")</f>
        <v/>
      </c>
    </row>
    <row r="20" ht="15" customHeight="1" s="21"/>
    <row r="21" ht="15" customHeight="1" s="21"/>
    <row r="22" ht="15" customHeight="1" s="21"/>
    <row r="23" ht="15" customHeight="1" s="21"/>
    <row r="24" ht="15" customHeight="1" s="21"/>
    <row r="25" ht="15" customHeight="1" s="21"/>
    <row r="27" ht="15" customHeight="1" s="21"/>
    <row r="28" ht="15" customHeight="1" s="21"/>
    <row r="29" ht="15" customHeight="1" s="21"/>
    <row r="30" ht="15" customHeight="1" s="21"/>
    <row r="31" ht="15" customHeight="1" s="21"/>
    <row r="32" ht="15" customHeight="1" s="21"/>
    <row r="33" ht="15" customHeight="1" s="21"/>
    <row r="34" ht="15" customHeight="1" s="21"/>
    <row r="35" ht="15" customHeight="1" s="21"/>
    <row r="37" ht="15" customHeight="1" s="21"/>
    <row r="38" ht="15" customHeight="1" s="21"/>
    <row r="39" ht="15" customHeight="1" s="21"/>
    <row r="40" ht="15" customHeight="1" s="21"/>
    <row r="41" ht="15" customHeight="1" s="2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7" customWidth="1" style="51" min="2" max="2"/>
    <col width="26" customWidth="1" style="51" min="3" max="3"/>
    <col width="60" customWidth="1" style="51" min="4" max="4"/>
    <col width="11" customWidth="1" style="51" min="5" max="5"/>
    <col width="10" customWidth="1" style="51" min="6" max="6"/>
    <col width="13" customWidth="1" style="51" min="7" max="7"/>
    <col width="11" customWidth="1" style="51" min="8" max="8"/>
    <col width="40" customWidth="1" style="51" min="9" max="9"/>
    <col width="8" customWidth="1" style="51" min="10" max="10"/>
    <col width="20" customWidth="1" style="51" min="11" max="11"/>
    <col width="10" customWidth="1" style="51" min="12" max="12"/>
    <col width="42" customWidth="1" style="51" min="13" max="13"/>
    <col width="28" customWidth="1" style="51" min="14" max="14"/>
    <col width="50" customWidth="1" style="51" min="15" max="15"/>
    <col width="12" customWidth="1" style="21" min="16" max="16"/>
  </cols>
  <sheetData>
    <row r="1" ht="42" customHeight="1" s="21">
      <c r="A1" s="54" t="inlineStr">
        <is>
          <t>ID</t>
        </is>
      </c>
      <c r="B1" s="54" t="inlineStr">
        <is>
          <t>Parte</t>
        </is>
      </c>
      <c r="C1" s="54" t="inlineStr">
        <is>
          <t>Item</t>
        </is>
      </c>
      <c r="D1" s="54" t="inlineStr">
        <is>
          <t>Descrição breve</t>
        </is>
      </c>
      <c r="E1" s="54" t="inlineStr">
        <is>
          <t>Byte-level confirmado</t>
        </is>
      </c>
      <c r="F1" s="54" t="inlineStr">
        <is>
          <t>Hardware live</t>
        </is>
      </c>
      <c r="G1" s="54" t="inlineStr">
        <is>
          <t>Ferramenta (otool/Ghidra)</t>
        </is>
      </c>
      <c r="H1" s="54" t="inlineStr">
        <is>
          <t>Especulativo</t>
        </is>
      </c>
      <c r="I1" s="54" t="inlineStr">
        <is>
          <t>Fontes / cruzamentos (separe com ;)</t>
        </is>
      </c>
      <c r="J1" s="54" t="inlineStr">
        <is>
          <t>Nº de fontes</t>
        </is>
      </c>
      <c r="K1" s="54" t="inlineStr">
        <is>
          <t>Status documental</t>
        </is>
      </c>
      <c r="L1" s="54" t="inlineStr">
        <is>
          <t>Confiança (0–10)</t>
        </is>
      </c>
      <c r="M1" s="54" t="inlineStr">
        <is>
          <t>Referência (arquivo; seção/linha)</t>
        </is>
      </c>
      <c r="N1" s="54" t="inlineStr">
        <is>
          <t>Flags do audit (arquivo:linha)</t>
        </is>
      </c>
      <c r="O1" s="54" t="inlineStr">
        <is>
          <t>Notas / pendências</t>
        </is>
      </c>
      <c r="P1" s="64" t="inlineStr">
        <is>
          <t>Sub-ramo</t>
        </is>
      </c>
    </row>
    <row r="2" ht="32.8" customHeight="1" s="21">
      <c r="A2" s="95" t="inlineStr">
        <is>
          <t>AP-0.1.1</t>
        </is>
      </c>
      <c r="B2" s="96" t="inlineStr">
        <is>
          <t>AP-0.1</t>
        </is>
      </c>
      <c r="C2" s="96" t="inlineStr">
        <is>
          <t>Tabela kDeviceSpecs</t>
        </is>
      </c>
      <c r="D2" s="96" t="inlineStr">
        <is>
          <t>8 entradas × {nome de produto, nome do bootloader, classe} em 0x46450, passo 0x18: FW 410/FW Bootloader/FW410Device; FW Audiophile/FW Audiophile Bootloader/FWAudiophileDevice; FW 1814/FW 1814 Bootloader; ProjectMix/ProjectMix; FW Solo/FWSolo Bootloader; Ozonic/Ozonic Bootloader; NRV-10/NRV-10 Bootloader; ProFire Lightbridge/ProFire Lightbridge Bootloader.</t>
        </is>
      </c>
      <c r="E2" s="96" t="inlineStr">
        <is>
          <t>Sim</t>
        </is>
      </c>
      <c r="F2" s="96" t="inlineStr">
        <is>
          <t>Não</t>
        </is>
      </c>
      <c r="G2" s="96" t="inlineStr">
        <is>
          <t>otool + Ghidra</t>
        </is>
      </c>
      <c r="H2" s="96" t="inlineStr">
        <is>
          <t>Não</t>
        </is>
      </c>
      <c r="I2" s="96" t="inlineStr">
        <is>
          <t>bytes da fatia 0x46450–0x46510 lidos via python 2026-10-19; mafw.asm 0x1ce1c (lea kDeviceSpecs); GetActualProductName @0x1ce06 (Ghidra); Info.plist (personalidades com os mesmos nomes)</t>
        </is>
      </c>
      <c r="J2" s="96">
        <f>IF(TRIM(I2)="",0,LEN(I2)-LEN(SUBSTITUTE(I2,";",""))+1)</f>
        <v/>
      </c>
      <c r="K2" s="96" t="inlineStr">
        <is>
          <t>Consistente</t>
        </is>
      </c>
      <c r="L2" s="97">
        <f>ROUND(IF(H2="Sim",MIN(Legenda!$C$12,MIN(10,IF(E2="Sim",Legenda!$C$4,IF(E2="Parcial",Legenda!$C$5,0))+IF(F2="Sim",Legenda!$C$6,IF(F2="Parcial",Legenda!$C$7,0))+IF(G2="otool + Ghidra",Legenda!$C$8,IF(OR(G2="otool",G2="Ghidra",G2="Outro binário"),Legenda!$C$9,0))+MIN(Legenda!$C$11,MAX(0,J2-1)*Legenda!$C$10))),IF(H2="Parcial",MIN(Legenda!$C$13,MIN(10,IF(E2="Sim",Legenda!$C$4,IF(E2="Parcial",Legenda!$C$5,0))+IF(F2="Sim",Legenda!$C$6,IF(F2="Parcial",Legenda!$C$7,0))+IF(G2="otool + Ghidra",Legenda!$C$8,IF(OR(G2="otool",G2="Ghidra",G2="Outro binário"),Legenda!$C$9,0))+MIN(Legenda!$C$11,MAX(0,J2-1)*Legenda!$C$10))),MIN(10,IF(E2="Sim",Legenda!$C$4,IF(E2="Parcial",Legenda!$C$5,0))+IF(F2="Sim",Legenda!$C$6,IF(F2="Parcial",Legenda!$C$7,0))+IF(G2="otool + Ghidra",Legenda!$C$8,IF(OR(G2="otool",G2="Ghidra",G2="Outro binário"),Legenda!$C$9,0))+MIN(Legenda!$C$11,MAX(0,J2-1)*Legenda!$C$10)))),1)</f>
        <v/>
      </c>
      <c r="M2" s="96" t="inlineStr">
        <is>
          <t>A1-ghidra/Q-AP0-nub-and-rev2.md §1.1</t>
        </is>
      </c>
      <c r="N2" s="96" t="inlineStr">
        <is>
          <t>—</t>
        </is>
      </c>
      <c r="O2" s="96" t="inlineStr">
        <is>
          <t>O clone tem a mesma tabela com 1 entrada (FWMetaNub.cpp:42); AP-2.1 a estende para 8. [2026-10-19] R77.</t>
        </is>
      </c>
      <c r="P2" s="96">
        <f>LEFT(A2,FIND(".",A2&amp;".")-1)</f>
        <v/>
      </c>
    </row>
    <row r="3" ht="22.35" customHeight="1" s="21">
      <c r="A3" s="95" t="inlineStr">
        <is>
          <t>AP-0.1.2</t>
        </is>
      </c>
      <c r="B3" s="96" t="inlineStr">
        <is>
          <t>AP-0.1</t>
        </is>
      </c>
      <c r="C3" s="96" t="inlineStr">
        <is>
          <t>FWMetaNub::probe</t>
        </is>
      </c>
      <c r="D3" s="96" t="inlineStr">
        <is>
          <t>Aceita o nó se 'FireWire Vendor Name' = 'M-Audio' ou 'M-AUDIO' e o 'FireWire Product Name' estiver na tabela (nome runtime OU de bootloader); score 0x7FFFFF. Não usa Model_ID.</t>
        </is>
      </c>
      <c r="E3" s="96" t="inlineStr">
        <is>
          <t>Parcial</t>
        </is>
      </c>
      <c r="F3" s="96" t="inlineStr">
        <is>
          <t>Não</t>
        </is>
      </c>
      <c r="G3" s="96" t="inlineStr">
        <is>
          <t>Ghidra</t>
        </is>
      </c>
      <c r="H3" s="96" t="inlineStr">
        <is>
          <t>Não</t>
        </is>
      </c>
      <c r="I3" s="96" t="inlineStr">
        <is>
          <t>FWMetaNub::probe @0x1ce62 (Ghidra); clone FWMetaNub.cpp:112 (mesma regra)</t>
        </is>
      </c>
      <c r="J3" s="96">
        <f>IF(TRIM(I3)="",0,LEN(I3)-LEN(SUBSTITUTE(I3,";",""))+1)</f>
        <v/>
      </c>
      <c r="K3" s="96" t="inlineStr">
        <is>
          <t>Consistente</t>
        </is>
      </c>
      <c r="L3" s="97">
        <f>ROUND(IF(H3="Sim",MIN(Legenda!$C$12,MIN(10,IF(E3="Sim",Legenda!$C$4,IF(E3="Parcial",Legenda!$C$5,0))+IF(F3="Sim",Legenda!$C$6,IF(F3="Parcial",Legenda!$C$7,0))+IF(G3="otool + Ghidra",Legenda!$C$8,IF(OR(G3="otool",G3="Ghidra",G3="Outro binário"),Legenda!$C$9,0))+MIN(Legenda!$C$11,MAX(0,J3-1)*Legenda!$C$10))),IF(H3="Parcial",MIN(Legenda!$C$13,MIN(10,IF(E3="Sim",Legenda!$C$4,IF(E3="Parcial",Legenda!$C$5,0))+IF(F3="Sim",Legenda!$C$6,IF(F3="Parcial",Legenda!$C$7,0))+IF(G3="otool + Ghidra",Legenda!$C$8,IF(OR(G3="otool",G3="Ghidra",G3="Outro binário"),Legenda!$C$9,0))+MIN(Legenda!$C$11,MAX(0,J3-1)*Legenda!$C$10))),MIN(10,IF(E3="Sim",Legenda!$C$4,IF(E3="Parcial",Legenda!$C$5,0))+IF(F3="Sim",Legenda!$C$6,IF(F3="Parcial",Legenda!$C$7,0))+IF(G3="otool + Ghidra",Legenda!$C$8,IF(OR(G3="otool",G3="Ghidra",G3="Outro binário"),Legenda!$C$9,0))+MIN(Legenda!$C$11,MAX(0,J3-1)*Legenda!$C$10)))),1)</f>
        <v/>
      </c>
      <c r="M3" s="96" t="inlineStr">
        <is>
          <t>decomp/FWMetaNub__probe.c</t>
        </is>
      </c>
      <c r="N3" s="96" t="inlineStr">
        <is>
          <t>AUD-AP-06</t>
        </is>
      </c>
      <c r="O3" s="96" t="inlineStr">
        <is>
          <t>Resolve o item 2 do §8 do audiophile-manual-reference (a parte 'qual Model_ID').</t>
        </is>
      </c>
      <c r="P3" s="96">
        <f>LEFT(A3,FIND(".",A3&amp;".")-1)</f>
        <v/>
      </c>
    </row>
    <row r="4" ht="22.35" customHeight="1" s="21">
      <c r="A4" s="95" t="inlineStr">
        <is>
          <t>AP-0.1.3</t>
        </is>
      </c>
      <c r="B4" s="96" t="inlineStr">
        <is>
          <t>AP-0.1</t>
        </is>
      </c>
      <c r="C4" s="96" t="inlineStr">
        <is>
          <t>MAActualProductName</t>
        </is>
      </c>
      <c r="D4" s="96" t="inlineStr">
        <is>
          <t>start() publica MAActualProductName = nome runtime (campo 0) mesmo quando o nó é o bootloader ('FW Audiophile Bootloader' → 'FW Audiophile'). O laço de GetActualProductName não para no primeiro acerto (último acerto vence).</t>
        </is>
      </c>
      <c r="E4" s="96" t="inlineStr">
        <is>
          <t>Parcial</t>
        </is>
      </c>
      <c r="F4" s="96" t="inlineStr">
        <is>
          <t>Não</t>
        </is>
      </c>
      <c r="G4" s="96" t="inlineStr">
        <is>
          <t>Ghidra</t>
        </is>
      </c>
      <c r="H4" s="96" t="inlineStr">
        <is>
          <t>Não</t>
        </is>
      </c>
      <c r="I4" s="96" t="inlineStr">
        <is>
          <t>FWMetaNub::start @0x1cf68; GetActualProductName @0x1ce06</t>
        </is>
      </c>
      <c r="J4" s="96">
        <f>IF(TRIM(I4)="",0,LEN(I4)-LEN(SUBSTITUTE(I4,";",""))+1)</f>
        <v/>
      </c>
      <c r="K4" s="96" t="inlineStr">
        <is>
          <t>Consistente</t>
        </is>
      </c>
      <c r="L4" s="97">
        <f>ROUND(IF(H4="Sim",MIN(Legenda!$C$12,MIN(10,IF(E4="Sim",Legenda!$C$4,IF(E4="Parcial",Legenda!$C$5,0))+IF(F4="Sim",Legenda!$C$6,IF(F4="Parcial",Legenda!$C$7,0))+IF(G4="otool + Ghidra",Legenda!$C$8,IF(OR(G4="otool",G4="Ghidra",G4="Outro binário"),Legenda!$C$9,0))+MIN(Legenda!$C$11,MAX(0,J4-1)*Legenda!$C$10))),IF(H4="Parcial",MIN(Legenda!$C$13,MIN(10,IF(E4="Sim",Legenda!$C$4,IF(E4="Parcial",Legenda!$C$5,0))+IF(F4="Sim",Legenda!$C$6,IF(F4="Parcial",Legenda!$C$7,0))+IF(G4="otool + Ghidra",Legenda!$C$8,IF(OR(G4="otool",G4="Ghidra",G4="Outro binário"),Legenda!$C$9,0))+MIN(Legenda!$C$11,MAX(0,J4-1)*Legenda!$C$10))),MIN(10,IF(E4="Sim",Legenda!$C$4,IF(E4="Parcial",Legenda!$C$5,0))+IF(F4="Sim",Legenda!$C$6,IF(F4="Parcial",Legenda!$C$7,0))+IF(G4="otool + Ghidra",Legenda!$C$8,IF(OR(G4="otool",G4="Ghidra",G4="Outro binário"),Legenda!$C$9,0))+MIN(Legenda!$C$11,MAX(0,J4-1)*Legenda!$C$10)))),1)</f>
        <v/>
      </c>
      <c r="M4" s="96" t="inlineStr">
        <is>
          <t>decomp/FWMetaNub__start.c</t>
        </is>
      </c>
      <c r="N4" s="96" t="inlineStr">
        <is>
          <t>—</t>
        </is>
      </c>
      <c r="O4" s="96" t="inlineStr">
        <is>
          <t>O helper usa este nome para escolher o .bcd (A4-H10).</t>
        </is>
      </c>
      <c r="P4" s="96">
        <f>LEFT(A4,FIND(".",A4&amp;".")-1)</f>
        <v/>
      </c>
    </row>
    <row r="5" ht="22.35" customHeight="1" s="21">
      <c r="A5" s="95" t="inlineStr">
        <is>
          <t>AP-0.1.4</t>
        </is>
      </c>
      <c r="B5" s="96" t="inlineStr">
        <is>
          <t>AP-0.1</t>
        </is>
      </c>
      <c r="C5" s="96" t="inlineStr">
        <is>
          <t>Casamento da classe de dispositivo</t>
        </is>
      </c>
      <c r="D5" s="96" t="inlineStr">
        <is>
          <t>A personalidade de cada classe (IOProviderClass = com_m_audio_FWMetaNub) casa pela propriedade 'FireWire Product Name' copiada para o nub; só o NRV-10 exige também Model_ID 65665. Audiophile: 'FW Audiophile'.</t>
        </is>
      </c>
      <c r="E5" s="96" t="inlineStr">
        <is>
          <t>Sim</t>
        </is>
      </c>
      <c r="F5" s="96" t="inlineStr">
        <is>
          <t>Sim</t>
        </is>
      </c>
      <c r="G5" s="96" t="inlineStr">
        <is>
          <t>Outro binário</t>
        </is>
      </c>
      <c r="H5" s="96" t="inlineStr">
        <is>
          <t>Não</t>
        </is>
      </c>
      <c r="I5" s="96" t="inlineStr">
        <is>
          <t>Info.plist do kext (plutil 2026-10-19); captura 89 (FWAudiophileDevice sob FWMetaNub no SL v1.9); FWMetaNub::start copia Product/Vendor Name, Vendor_ID, Model_ID, GUID</t>
        </is>
      </c>
      <c r="J5" s="96">
        <f>IF(TRIM(I5)="",0,LEN(I5)-LEN(SUBSTITUTE(I5,";",""))+1)</f>
        <v/>
      </c>
      <c r="K5" s="96" t="inlineStr">
        <is>
          <t>Corrigido 2026-10-19</t>
        </is>
      </c>
      <c r="L5" s="97">
        <f>ROUND(IF(H5="Sim",MIN(Legenda!$C$12,MIN(10,IF(E5="Sim",Legenda!$C$4,IF(E5="Parcial",Legenda!$C$5,0))+IF(F5="Sim",Legenda!$C$6,IF(F5="Parcial",Legenda!$C$7,0))+IF(G5="otool + Ghidra",Legenda!$C$8,IF(OR(G5="otool",G5="Ghidra",G5="Outro binário"),Legenda!$C$9,0))+MIN(Legenda!$C$11,MAX(0,J5-1)*Legenda!$C$10))),IF(H5="Parcial",MIN(Legenda!$C$13,MIN(10,IF(E5="Sim",Legenda!$C$4,IF(E5="Parcial",Legenda!$C$5,0))+IF(F5="Sim",Legenda!$C$6,IF(F5="Parcial",Legenda!$C$7,0))+IF(G5="otool + Ghidra",Legenda!$C$8,IF(OR(G5="otool",G5="Ghidra",G5="Outro binário"),Legenda!$C$9,0))+MIN(Legenda!$C$11,MAX(0,J5-1)*Legenda!$C$10))),MIN(10,IF(E5="Sim",Legenda!$C$4,IF(E5="Parcial",Legenda!$C$5,0))+IF(F5="Sim",Legenda!$C$6,IF(F5="Parcial",Legenda!$C$7,0))+IF(G5="otool + Ghidra",Legenda!$C$8,IF(OR(G5="otool",G5="Ghidra",G5="Outro binário"),Legenda!$C$9,0))+MIN(Legenda!$C$11,MAX(0,J5-1)*Legenda!$C$10)))),1)</f>
        <v/>
      </c>
      <c r="M5" s="96" t="inlineStr">
        <is>
          <t>_extracted/kext/…/Info.plist; captures/89-sl-audiophile-ioreg-device-subtree.txt</t>
        </is>
      </c>
      <c r="N5" s="96" t="inlineStr">
        <is>
          <t>AUD-AP-06</t>
        </is>
      </c>
      <c r="O5" s="96" t="inlineStr">
        <is>
          <t>audiophile-manual-reference §1 diz 'by class alone' — corrigir. [2026-10-19] Correction block no audiophile-manual-reference (R77).</t>
        </is>
      </c>
      <c r="P5" s="96">
        <f>LEFT(A5,FIND(".",A5&amp;".")-1)</f>
        <v/>
      </c>
    </row>
    <row r="6" ht="32.8" customHeight="1" s="21">
      <c r="A6" s="95" t="inlineStr">
        <is>
          <t>AP-0.1.5</t>
        </is>
      </c>
      <c r="B6" s="96" t="inlineStr">
        <is>
          <t>AP-0.1</t>
        </is>
      </c>
      <c r="C6" s="96" t="inlineStr">
        <is>
          <t>FWAVCAudioDevice::probe</t>
        </is>
      </c>
      <c r="D6" s="96" t="inlineStr">
        <is>
          <t>Exige provedor FWMetaNub, mesmo Product Name, Model_ID igual se ambos existirem, nub [+0xf0]==0 (não está no bootloader) e [+0xf3]!=0 (FirmwareStart já registrou).</t>
        </is>
      </c>
      <c r="E6" s="96" t="inlineStr">
        <is>
          <t>Parcial</t>
        </is>
      </c>
      <c r="F6" s="96" t="inlineStr">
        <is>
          <t>Não</t>
        </is>
      </c>
      <c r="G6" s="96" t="inlineStr">
        <is>
          <t>Ghidra</t>
        </is>
      </c>
      <c r="H6" s="96" t="inlineStr">
        <is>
          <t>Não</t>
        </is>
      </c>
      <c r="I6" s="96" t="inlineStr">
        <is>
          <t>FWAVCAudioDevice::probe (Ghidra 2026-10-19); Q7 tabela de campos; clone FWAudioDeviceChain.cpp:38</t>
        </is>
      </c>
      <c r="J6" s="96">
        <f>IF(TRIM(I6)="",0,LEN(I6)-LEN(SUBSTITUTE(I6,";",""))+1)</f>
        <v/>
      </c>
      <c r="K6" s="96" t="inlineStr">
        <is>
          <t>Consistente</t>
        </is>
      </c>
      <c r="L6" s="97">
        <f>ROUND(IF(H6="Sim",MIN(Legenda!$C$12,MIN(10,IF(E6="Sim",Legenda!$C$4,IF(E6="Parcial",Legenda!$C$5,0))+IF(F6="Sim",Legenda!$C$6,IF(F6="Parcial",Legenda!$C$7,0))+IF(G6="otool + Ghidra",Legenda!$C$8,IF(OR(G6="otool",G6="Ghidra",G6="Outro binário"),Legenda!$C$9,0))+MIN(Legenda!$C$11,MAX(0,J6-1)*Legenda!$C$10))),IF(H6="Parcial",MIN(Legenda!$C$13,MIN(10,IF(E6="Sim",Legenda!$C$4,IF(E6="Parcial",Legenda!$C$5,0))+IF(F6="Sim",Legenda!$C$6,IF(F6="Parcial",Legenda!$C$7,0))+IF(G6="otool + Ghidra",Legenda!$C$8,IF(OR(G6="otool",G6="Ghidra",G6="Outro binário"),Legenda!$C$9,0))+MIN(Legenda!$C$11,MAX(0,J6-1)*Legenda!$C$10))),MIN(10,IF(E6="Sim",Legenda!$C$4,IF(E6="Parcial",Legenda!$C$5,0))+IF(F6="Sim",Legenda!$C$6,IF(F6="Parcial",Legenda!$C$7,0))+IF(G6="otool + Ghidra",Legenda!$C$8,IF(OR(G6="otool",G6="Ghidra",G6="Outro binário"),Legenda!$C$9,0))+MIN(Legenda!$C$11,MAX(0,J6-1)*Legenda!$C$10)))),1)</f>
        <v/>
      </c>
      <c r="M6" s="96" t="inlineStr">
        <is>
          <t>decomp/FWAVCAudioDevice__probe.c; A1-ghidra/Q7-fwmetanub-lifecycle.md</t>
        </is>
      </c>
      <c r="N6" s="96" t="inlineStr">
        <is>
          <t>—</t>
        </is>
      </c>
      <c r="O6" s="96" t="inlineStr">
        <is>
          <t>Já espelhado no clone; vale para todos os modelos.</t>
        </is>
      </c>
      <c r="P6" s="96">
        <f>LEFT(A6,FIND(".",A6&amp;".")-1)</f>
        <v/>
      </c>
    </row>
    <row r="7" ht="22.35" customHeight="1" s="21">
      <c r="A7" s="95" t="inlineStr">
        <is>
          <t>AP-0.1.6</t>
        </is>
      </c>
      <c r="B7" s="96" t="inlineStr">
        <is>
          <t>AP-0.1</t>
        </is>
      </c>
      <c r="C7" s="96" t="inlineStr">
        <is>
          <t>Model_ID do Audiophile</t>
        </is>
      </c>
      <c r="D7" s="96" t="inlineStr">
        <is>
          <t>Runtime 0x00010060 (65632). Bootloader: mesmo Model_ID, distinguido só pelo texto da unidade 'FW Audiophile Bootloader' (fonte de terceiros; o bootloader nunca foi observado).</t>
        </is>
      </c>
      <c r="E7" s="96" t="inlineStr">
        <is>
          <t>Sim</t>
        </is>
      </c>
      <c r="F7" s="96" t="inlineStr">
        <is>
          <t>Parcial</t>
        </is>
      </c>
      <c r="G7" s="96" t="inlineStr">
        <is>
          <t>Outro binário</t>
        </is>
      </c>
      <c r="H7" s="96" t="inlineStr">
        <is>
          <t>Parcial</t>
        </is>
      </c>
      <c r="I7" s="96" t="inlineStr">
        <is>
          <t>FWAP.bcd apêndice ModelID; captura 89b (Model_ID 65632 no SL); snd-bebob bebob.c:150-157; ffado normal_avdevice.cpp:39</t>
        </is>
      </c>
      <c r="J7" s="96">
        <f>IF(TRIM(I7)="",0,LEN(I7)-LEN(SUBSTITUTE(I7,";",""))+1)</f>
        <v/>
      </c>
      <c r="K7" s="96" t="inlineStr">
        <is>
          <t>Aberto / não resolvido</t>
        </is>
      </c>
      <c r="L7" s="97">
        <f>ROUND(IF(H7="Sim",MIN(Legenda!$C$12,MIN(10,IF(E7="Sim",Legenda!$C$4,IF(E7="Parcial",Legenda!$C$5,0))+IF(F7="Sim",Legenda!$C$6,IF(F7="Parcial",Legenda!$C$7,0))+IF(G7="otool + Ghidra",Legenda!$C$8,IF(OR(G7="otool",G7="Ghidra",G7="Outro binário"),Legenda!$C$9,0))+MIN(Legenda!$C$11,MAX(0,J7-1)*Legenda!$C$10))),IF(H7="Parcial",MIN(Legenda!$C$13,MIN(10,IF(E7="Sim",Legenda!$C$4,IF(E7="Parcial",Legenda!$C$5,0))+IF(F7="Sim",Legenda!$C$6,IF(F7="Parcial",Legenda!$C$7,0))+IF(G7="otool + Ghidra",Legenda!$C$8,IF(OR(G7="otool",G7="Ghidra",G7="Outro binário"),Legenda!$C$9,0))+MIN(Legenda!$C$11,MAX(0,J7-1)*Legenda!$C$10))),MIN(10,IF(E7="Sim",Legenda!$C$4,IF(E7="Parcial",Legenda!$C$5,0))+IF(F7="Sim",Legenda!$C$6,IF(F7="Parcial",Legenda!$C$7,0))+IF(G7="otool + Ghidra",Legenda!$C$8,IF(OR(G7="otool",G7="Ghidra",G7="Outro binário"),Legenda!$C$9,0))+MIN(Legenda!$C$11,MAX(0,J7-1)*Legenda!$C$10)))),1)</f>
        <v/>
      </c>
      <c r="M7" s="96" t="inlineStr">
        <is>
          <t>audiophile-manual-reference.md §1</t>
        </is>
      </c>
      <c r="N7" s="96" t="inlineStr">
        <is>
          <t>—</t>
        </is>
      </c>
      <c r="O7" s="96" t="inlineStr">
        <is>
          <t>Fecha no AP-7.1 (power-cycle, ver o nó de bootloader).</t>
        </is>
      </c>
      <c r="P7" s="96">
        <f>LEFT(A7,FIND(".",A7&amp;".")-1)</f>
        <v/>
      </c>
    </row>
    <row r="8" ht="22.35" customHeight="1" s="21">
      <c r="A8" s="95" t="inlineStr">
        <is>
          <t>AP-0.2.1</t>
        </is>
      </c>
      <c r="B8" s="96" t="inlineStr">
        <is>
          <t>AP-0.2</t>
        </is>
      </c>
      <c r="C8" s="96" t="inlineStr">
        <is>
          <t>Hierarquia Rev1/Rev2</t>
        </is>
      </c>
      <c r="D8" s="96" t="inlineStr">
        <is>
          <t>Audiophile, FW410, Ozonic, Solo, NRV10, Lightbridge derivam de FWRev2AudioDevice; FW1814 (e ProjectMix via 1814) de FWRev1AudioDevice; ambos de m_audio_b_FWAVCAudioDevice.</t>
        </is>
      </c>
      <c r="E8" s="96" t="inlineStr">
        <is>
          <t>Sim</t>
        </is>
      </c>
      <c r="F8" s="96" t="inlineStr">
        <is>
          <t>Não</t>
        </is>
      </c>
      <c r="G8" s="96" t="inlineStr">
        <is>
          <t>otool + Ghidra</t>
        </is>
      </c>
      <c r="H8" s="96" t="inlineStr">
        <is>
          <t>Não</t>
        </is>
      </c>
      <c r="I8" s="96" t="inlineStr">
        <is>
          <t>construtores de metaclasse (Q16 Correction 2026-10-14); ctor Rev2 0x13574; ctor FWAudiophileDevice 0xbe6c</t>
        </is>
      </c>
      <c r="J8" s="96">
        <f>IF(TRIM(I8)="",0,LEN(I8)-LEN(SUBSTITUTE(I8,";",""))+1)</f>
        <v/>
      </c>
      <c r="K8" s="96" t="inlineStr">
        <is>
          <t>Corrigido 2026-10-19</t>
        </is>
      </c>
      <c r="L8" s="97">
        <f>ROUND(IF(H8="Sim",MIN(Legenda!$C$12,MIN(10,IF(E8="Sim",Legenda!$C$4,IF(E8="Parcial",Legenda!$C$5,0))+IF(F8="Sim",Legenda!$C$6,IF(F8="Parcial",Legenda!$C$7,0))+IF(G8="otool + Ghidra",Legenda!$C$8,IF(OR(G8="otool",G8="Ghidra",G8="Outro binário"),Legenda!$C$9,0))+MIN(Legenda!$C$11,MAX(0,J8-1)*Legenda!$C$10))),IF(H8="Parcial",MIN(Legenda!$C$13,MIN(10,IF(E8="Sim",Legenda!$C$4,IF(E8="Parcial",Legenda!$C$5,0))+IF(F8="Sim",Legenda!$C$6,IF(F8="Parcial",Legenda!$C$7,0))+IF(G8="otool + Ghidra",Legenda!$C$8,IF(OR(G8="otool",G8="Ghidra",G8="Outro binário"),Legenda!$C$9,0))+MIN(Legenda!$C$11,MAX(0,J8-1)*Legenda!$C$10))),MIN(10,IF(E8="Sim",Legenda!$C$4,IF(E8="Parcial",Legenda!$C$5,0))+IF(F8="Sim",Legenda!$C$6,IF(F8="Parcial",Legenda!$C$7,0))+IF(G8="otool + Ghidra",Legenda!$C$8,IF(OR(G8="otool",G8="Ghidra",G8="Outro binário"),Legenda!$C$9,0))+MIN(Legenda!$C$11,MAX(0,J8-1)*Legenda!$C$10)))),1)</f>
        <v/>
      </c>
      <c r="M8" s="96" t="inlineStr">
        <is>
          <t>A1-ghidra/Q16-rev1-rev2-deltas.md (Correction 2026-10-14)</t>
        </is>
      </c>
      <c r="N8" s="96" t="inlineStr">
        <is>
          <t>AUD-AP-04</t>
        </is>
      </c>
      <c r="O8" s="96" t="inlineStr">
        <is>
          <t>A Correction do topo do Q16 já traz a tabela certa; a linha 80 ainda diz 'Solo = Rev1'. [2026-10-19] Correction no Q16 (R77).</t>
        </is>
      </c>
      <c r="P8" s="96">
        <f>LEFT(A8,FIND(".",A8&amp;".")-1)</f>
        <v/>
      </c>
    </row>
    <row r="9" ht="22.35" customHeight="1" s="21">
      <c r="A9" s="95" t="inlineStr">
        <is>
          <t>AP-0.2.2</t>
        </is>
      </c>
      <c r="B9" s="96" t="inlineStr">
        <is>
          <t>AP-0.2</t>
        </is>
      </c>
      <c r="C9" s="96" t="inlineStr">
        <is>
          <t>Rev2 AllocateAudioEngine</t>
        </is>
      </c>
      <c r="D9" s="96" t="inlineStr">
        <is>
          <t>Rev2 cria um com_m_audio_FWEngine2 (Rev1 devolve 0: a subclasse aloca).</t>
        </is>
      </c>
      <c r="E9" s="96" t="inlineStr">
        <is>
          <t>Parcial</t>
        </is>
      </c>
      <c r="F9" s="96" t="inlineStr">
        <is>
          <t>Sim</t>
        </is>
      </c>
      <c r="G9" s="96" t="inlineStr">
        <is>
          <t>Ghidra</t>
        </is>
      </c>
      <c r="H9" s="96" t="inlineStr">
        <is>
          <t>Não</t>
        </is>
      </c>
      <c r="I9" s="96" t="inlineStr">
        <is>
          <t>FWRev2AudioDevice::AllocateAudioEngine @0xb66a; FWRev1 @0x136aa; captura 89 (um FWEngine2 'FireWire Audiophile Multichannel')</t>
        </is>
      </c>
      <c r="J9" s="96">
        <f>IF(TRIM(I9)="",0,LEN(I9)-LEN(SUBSTITUTE(I9,";",""))+1)</f>
        <v/>
      </c>
      <c r="K9" s="96" t="inlineStr">
        <is>
          <t>Consistente</t>
        </is>
      </c>
      <c r="L9" s="97">
        <f>ROUND(IF(H9="Sim",MIN(Legenda!$C$12,MIN(10,IF(E9="Sim",Legenda!$C$4,IF(E9="Parcial",Legenda!$C$5,0))+IF(F9="Sim",Legenda!$C$6,IF(F9="Parcial",Legenda!$C$7,0))+IF(G9="otool + Ghidra",Legenda!$C$8,IF(OR(G9="otool",G9="Ghidra",G9="Outro binário"),Legenda!$C$9,0))+MIN(Legenda!$C$11,MAX(0,J9-1)*Legenda!$C$10))),IF(H9="Parcial",MIN(Legenda!$C$13,MIN(10,IF(E9="Sim",Legenda!$C$4,IF(E9="Parcial",Legenda!$C$5,0))+IF(F9="Sim",Legenda!$C$6,IF(F9="Parcial",Legenda!$C$7,0))+IF(G9="otool + Ghidra",Legenda!$C$8,IF(OR(G9="otool",G9="Ghidra",G9="Outro binário"),Legenda!$C$9,0))+MIN(Legenda!$C$11,MAX(0,J9-1)*Legenda!$C$10))),MIN(10,IF(E9="Sim",Legenda!$C$4,IF(E9="Parcial",Legenda!$C$5,0))+IF(F9="Sim",Legenda!$C$6,IF(F9="Parcial",Legenda!$C$7,0))+IF(G9="otool + Ghidra",Legenda!$C$8,IF(OR(G9="otool",G9="Ghidra",G9="Outro binário"),Legenda!$C$9,0))+MIN(Legenda!$C$11,MAX(0,J9-1)*Legenda!$C$10)))),1)</f>
        <v/>
      </c>
      <c r="M9" s="96" t="inlineStr">
        <is>
          <t>decomp/FWRev2AudioDevice__AllocateAudioEngine.c</t>
        </is>
      </c>
      <c r="N9" s="96" t="inlineStr">
        <is>
          <t>—</t>
        </is>
      </c>
      <c r="O9" s="96" t="inlineStr">
        <is>
          <t>O clone já tem FWEngine2.</t>
        </is>
      </c>
      <c r="P9" s="96">
        <f>LEFT(A9,FIND(".",A9&amp;".")-1)</f>
        <v/>
      </c>
    </row>
    <row r="10" ht="22.35" customHeight="1" s="21">
      <c r="A10" s="95" t="inlineStr">
        <is>
          <t>AP-0.2.3</t>
        </is>
      </c>
      <c r="B10" s="96" t="inlineStr">
        <is>
          <t>AP-0.2</t>
        </is>
      </c>
      <c r="C10" s="96" t="inlineStr">
        <is>
          <t>Rev2 AVCControlPlugSignalFormat (0x2F)</t>
        </is>
      </c>
      <c r="D10" s="96" t="inlineStr">
        <is>
          <t>EXTENDED STREAM FORMAT: STATUS '01 FF 2F C1 &lt;dir&gt; 00 00 &lt;plug&gt; FF FF &lt;idx&gt;' percorrendo a lista até a resposta[13] = código de taxa; depois CONTROL '00 FF 2F C0 … 90 40 &lt;taxa&gt; …' copiando o bloco de formato da resposta (n×2+1 bytes a partir de resposta[15]).</t>
        </is>
      </c>
      <c r="E10" s="96" t="inlineStr">
        <is>
          <t>Sim</t>
        </is>
      </c>
      <c r="F10" s="96" t="inlineStr">
        <is>
          <t>Não</t>
        </is>
      </c>
      <c r="G10" s="96" t="inlineStr">
        <is>
          <t>otool + Ghidra</t>
        </is>
      </c>
      <c r="H10" s="96" t="inlineStr">
        <is>
          <t>Não</t>
        </is>
      </c>
      <c r="I10" s="96" t="inlineStr">
        <is>
          <t>asm 0x12e7e-0x1305a; Ghidra; FFADO avc_extended_stream_format.h:35-41,108-109 e .cpp:159-177,340-351; FFADO avc_extended_cmd_generic.cpp:42-48; vtable Audiophile slot 0xb50</t>
        </is>
      </c>
      <c r="J10" s="96">
        <f>IF(TRIM(I10)="",0,LEN(I10)-LEN(SUBSTITUTE(I10,";",""))+1)</f>
        <v/>
      </c>
      <c r="K10" s="96" t="inlineStr">
        <is>
          <t>Consistente</t>
        </is>
      </c>
      <c r="L10" s="97">
        <f>ROUND(IF(H10="Sim",MIN(Legenda!$C$12,MIN(10,IF(E10="Sim",Legenda!$C$4,IF(E10="Parcial",Legenda!$C$5,0))+IF(F10="Sim",Legenda!$C$6,IF(F10="Parcial",Legenda!$C$7,0))+IF(G10="otool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binário"),Legenda!$C$9,0))+MIN(Legenda!$C$11,MAX(0,J10-1)*Legenda!$C$10))),IF(H10="Parcial",MIN(Legenda!$C$13,MIN(10,IF(E10="Sim",Legenda!$C$4,IF(E10="Parcial",Legenda!$C$5,0))+IF(F10="Sim",Legenda!$C$6,IF(F10="Parcial",Legenda!$C$7,0))+IF(G10="otool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binário"),Legenda!$C$9,0))+MIN(Legenda!$C$11,MAX(0,J10-1)*Legenda!$C$10)))),1)</f>
        <v/>
      </c>
      <c r="M10" s="96" t="inlineStr">
        <is>
          <t>A1-ghidra/Q-AP0-nub-and-rev2.md §2.1</t>
        </is>
      </c>
      <c r="N10" s="96" t="inlineStr">
        <is>
          <t>—</t>
        </is>
      </c>
      <c r="O10" s="96" t="inlineStr">
        <is>
          <t>Layout dos bytes 10–15 e o comprimento exato precisam do asm 0x12e7e–0x13078 (o decompile mistura pilha). [2026-10-19] Layout fechado no asm e igual ao FFADO. Quadro C1 enviado com 14 bytes (3 sem inicializar). Direção do kext 0 = plug AV/C de saída.</t>
        </is>
      </c>
      <c r="P10" s="96">
        <f>LEFT(A10,FIND(".",A10&amp;".")-1)</f>
        <v/>
      </c>
    </row>
    <row r="11" ht="22.35" customHeight="1" s="21">
      <c r="A11" s="95" t="inlineStr">
        <is>
          <t>AP-0.2.4</t>
        </is>
      </c>
      <c r="B11" s="96" t="inlineStr">
        <is>
          <t>AP-0.2</t>
        </is>
      </c>
      <c r="C11" s="96" t="inlineStr">
        <is>
          <t>Códigos de taxa do 0x2F</t>
        </is>
      </c>
      <c r="D11" s="96" t="inlineStr">
        <is>
          <t>FDF0→0x02, FDF1 e default→0x03, FDF2→0x04, FDF3→0x0A, FDF4→0x05, FDF5→0x06, FDF6→0x07 (32/44.1/48/88.2/96/176.4/192).</t>
        </is>
      </c>
      <c r="E11" s="96" t="inlineStr">
        <is>
          <t>Sim</t>
        </is>
      </c>
      <c r="F11" s="96" t="inlineStr">
        <is>
          <t>Não</t>
        </is>
      </c>
      <c r="G11" s="96" t="inlineStr">
        <is>
          <t>otool + Ghidra</t>
        </is>
      </c>
      <c r="H11" s="96" t="inlineStr">
        <is>
          <t>Não</t>
        </is>
      </c>
      <c r="I11" s="96" t="inlineStr">
        <is>
          <t>asm 0x12e8f-0x12ecf; Ghidra switch; FFADO avc_definitions.h:115-125 (ESamplingFrequency)</t>
        </is>
      </c>
      <c r="J11" s="96">
        <f>IF(TRIM(I11)="",0,LEN(I11)-LEN(SUBSTITUTE(I11,";",""))+1)</f>
        <v/>
      </c>
      <c r="K11" s="96" t="inlineStr">
        <is>
          <t>Consistente</t>
        </is>
      </c>
      <c r="L11" s="97">
        <f>ROUND(IF(H11="Sim",MIN(Legenda!$C$12,MIN(10,IF(E11="Sim",Legenda!$C$4,IF(E11="Parcial",Legenda!$C$5,0))+IF(F11="Sim",Legenda!$C$6,IF(F11="Parcial",Legenda!$C$7,0))+IF(G11="otool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binário"),Legenda!$C$9,0))+MIN(Legenda!$C$11,MAX(0,J11-1)*Legenda!$C$10))),IF(H11="Parcial",MIN(Legenda!$C$13,MIN(10,IF(E11="Sim",Legenda!$C$4,IF(E11="Parcial",Legenda!$C$5,0))+IF(F11="Sim",Legenda!$C$6,IF(F11="Parcial",Legenda!$C$7,0))+IF(G11="otool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binário"),Legenda!$C$9,0))+MIN(Legenda!$C$11,MAX(0,J11-1)*Legenda!$C$10)))),1)</f>
        <v/>
      </c>
      <c r="M11" s="96" t="inlineStr">
        <is>
          <t>A1-ghidra/Q-AP0-nub-and-rev2.md §2.1</t>
        </is>
      </c>
      <c r="N11" s="96" t="inlineStr">
        <is>
          <t>—</t>
        </is>
      </c>
      <c r="O11" s="96" t="inlineStr">
        <is>
          <t>Conferir no asm junto com AP-0.2.3. [2026-10-19] Códigos = ESamplingFrequency do FFADO.</t>
        </is>
      </c>
      <c r="P11" s="96">
        <f>LEFT(A11,FIND(".",A11&amp;".")-1)</f>
        <v/>
      </c>
    </row>
    <row r="12" ht="22.35" customHeight="1" s="21">
      <c r="A12" s="95" t="inlineStr">
        <is>
          <t>AP-0.2.5</t>
        </is>
      </c>
      <c r="B12" s="96" t="inlineStr">
        <is>
          <t>AP-0.2</t>
        </is>
      </c>
      <c r="C12" s="96" t="inlineStr">
        <is>
          <t>AVCSetupSyncStream (0x1A)</t>
        </is>
      </c>
      <c r="D12" s="96" t="inlineStr">
        <is>
          <t>1) STATUS '01 FF 1A 0F FF FE 60 &lt;p&gt;'; 2) vt[0xbc0] = GetAddressAndPlugForSyncType preenche os bytes 4/5 (origem); 3) CONTROL '00 FF 1A 0F &lt;addr&gt; &lt;plug&gt; 60 &lt;p&gt;'. 0x1A = SIGNAL SOURCE (destino = subunidade música 0x60, plug p).</t>
        </is>
      </c>
      <c r="E12" s="96" t="inlineStr">
        <is>
          <t>Sim</t>
        </is>
      </c>
      <c r="F12" s="96" t="inlineStr">
        <is>
          <t>Não</t>
        </is>
      </c>
      <c r="G12" s="96" t="inlineStr">
        <is>
          <t>otool + Ghidra</t>
        </is>
      </c>
      <c r="H12" s="96" t="inlineStr">
        <is>
          <t>Não</t>
        </is>
      </c>
      <c r="I12" s="96" t="inlineStr">
        <is>
          <t>asm 0x12c60-0x12e1d; Ghidra; vtable Audiophile slot 0xbc0 = GetAddressAndPlugForSyncType; FFADO avc_signal_source.cpp:33</t>
        </is>
      </c>
      <c r="J12" s="96">
        <f>IF(TRIM(I12)="",0,LEN(I12)-LEN(SUBSTITUTE(I12,";",""))+1)</f>
        <v/>
      </c>
      <c r="K12" s="96" t="inlineStr">
        <is>
          <t>Corrigido 2026-10-19</t>
        </is>
      </c>
      <c r="L12" s="97">
        <f>ROUND(IF(H12="Sim",MIN(Legenda!$C$12,MIN(10,IF(E12="Sim",Legenda!$C$4,IF(E12="Parcial",Legenda!$C$5,0))+IF(F12="Sim",Legenda!$C$6,IF(F12="Parcial",Legenda!$C$7,0))+IF(G12="otool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binário"),Legenda!$C$9,0))+MIN(Legenda!$C$11,MAX(0,J12-1)*Legenda!$C$10))),IF(H12="Parcial",MIN(Legenda!$C$13,MIN(10,IF(E12="Sim",Legenda!$C$4,IF(E12="Parcial",Legenda!$C$5,0))+IF(F12="Sim",Legenda!$C$6,IF(F12="Parcial",Legenda!$C$7,0))+IF(G12="otool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binário"),Legenda!$C$9,0))+MIN(Legenda!$C$11,MAX(0,J12-1)*Legenda!$C$10)))),1)</f>
        <v/>
      </c>
      <c r="M12" s="96" t="inlineStr">
        <is>
          <t>A1-ghidra/Q-AP0-nub-and-rev2.md §2.2</t>
        </is>
      </c>
      <c r="N12" s="96" t="inlineStr">
        <is>
          <t>AUD-AP-01</t>
        </is>
      </c>
      <c r="O12" s="96" t="inlineStr">
        <is>
          <t>Q16:73-74 rotula o 1º quadro como CONTROL e o 2º como GET-STATUS: é o contrário (ctype 0x01 = STATUS, 0x00 = CONTROL). [2026-10-19] Correction no Q16. Peculiaridade: se vt[0xbc0] falha a função devolve 0 sem enviar o CONTROL.</t>
        </is>
      </c>
      <c r="P12" s="96">
        <f>LEFT(A12,FIND(".",A12&amp;".")-1)</f>
        <v/>
      </c>
    </row>
    <row r="13" ht="22.35" customHeight="1" s="21">
      <c r="A13" s="95" t="inlineStr">
        <is>
          <t>AP-0.2.6</t>
        </is>
      </c>
      <c r="B13" s="96" t="inlineStr">
        <is>
          <t>AP-0.2</t>
        </is>
      </c>
      <c r="C13" s="96" t="inlineStr">
        <is>
          <t>GetAddressAndPlugForSyncType</t>
        </is>
      </c>
      <c r="D13" s="96" t="inlineStr">
        <is>
          <t>tipo 0 → 60/(p==1 ? 1 : p+1) (subunidade música); 1 → FF/81; 2 → FF/00; 3 → FF/83; 4 → FF/82 (plugs externos da unidade). Os nomes dos tipos não estão no binário.</t>
        </is>
      </c>
      <c r="E13" s="96" t="inlineStr">
        <is>
          <t>Parcial</t>
        </is>
      </c>
      <c r="F13" s="96" t="inlineStr">
        <is>
          <t>Não</t>
        </is>
      </c>
      <c r="G13" s="96" t="inlineStr">
        <is>
          <t>Ghidra</t>
        </is>
      </c>
      <c r="H13" s="96" t="inlineStr">
        <is>
          <t>Não</t>
        </is>
      </c>
      <c r="I13" s="96" t="inlineStr">
        <is>
          <t>FWRev2AudioDevice::GetAddressAndPlugForSyncType @0x12ae8 (Ghidra); ctl-services normal.rs:483-495 (Audiophile: interno = música plug 1, S/PDIF = Ext 0x02 → 0x82)</t>
        </is>
      </c>
      <c r="J13" s="96">
        <f>IF(TRIM(I13)="",0,LEN(I13)-LEN(SUBSTITUTE(I13,";",""))+1)</f>
        <v/>
      </c>
      <c r="K13" s="96" t="inlineStr">
        <is>
          <t>Corrigido 2026-10-19</t>
        </is>
      </c>
      <c r="L13" s="97">
        <f>ROUND(IF(H13="Sim",MIN(Legenda!$C$12,MIN(10,IF(E13="Sim",Legenda!$C$4,IF(E13="Parcial",Legenda!$C$5,0))+IF(F13="Sim",Legenda!$C$6,IF(F13="Parcial",Legenda!$C$7,0))+IF(G13="otool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binário"),Legenda!$C$9,0))+MIN(Legenda!$C$11,MAX(0,J13-1)*Legenda!$C$10))),IF(H13="Parcial",MIN(Legenda!$C$13,MIN(10,IF(E13="Sim",Legenda!$C$4,IF(E13="Parcial",Legenda!$C$5,0))+IF(F13="Sim",Legenda!$C$6,IF(F13="Parcial",Legenda!$C$7,0))+IF(G13="otool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binário"),Legenda!$C$9,0))+MIN(Legenda!$C$11,MAX(0,J13-1)*Legenda!$C$10)))),1)</f>
        <v/>
      </c>
      <c r="M13" s="96" t="inlineStr">
        <is>
          <t>A1-ghidra/Q-AP0-nub-and-rev2.md §2.2</t>
        </is>
      </c>
      <c r="N13" s="96" t="inlineStr">
        <is>
          <t>AUD-AP-02</t>
        </is>
      </c>
      <c r="O13" s="96" t="inlineStr">
        <is>
          <t>Q16:44 dá nomes (S/PDIF=0x81, Aux=0x82) sem fonte; no Audiophile o S/PDIF é o tipo 4 (0x82). [2026-10-19] Correction no Q16.</t>
        </is>
      </c>
      <c r="P13" s="96">
        <f>LEFT(A13,FIND(".",A13&amp;".")-1)</f>
        <v/>
      </c>
    </row>
    <row r="14" ht="22.35" customHeight="1" s="21">
      <c r="A14" s="95" t="inlineStr">
        <is>
          <t>AP-0.2.7</t>
        </is>
      </c>
      <c r="B14" s="96" t="inlineStr">
        <is>
          <t>AP-0.2</t>
        </is>
      </c>
      <c r="C14" s="96" t="inlineStr">
        <is>
          <t>Audiophile SetClockSourceInternal</t>
        </is>
      </c>
      <c r="D14" s="96" t="inlineStr">
        <is>
          <t>Rejeita sem o bit 30 (0xE00002C2); bits[1:0]==1 → tipo 4 (S/PDIF, FF 82), senão tipo 0 (interno); chama AVCSetupSyncStream(tipo, 1) sob a trava [+0xe8] vt[0xa50]/[0xa58].</t>
        </is>
      </c>
      <c r="E14" s="96" t="inlineStr">
        <is>
          <t>Sim</t>
        </is>
      </c>
      <c r="F14" s="96" t="inlineStr">
        <is>
          <t>Parcial</t>
        </is>
      </c>
      <c r="G14" s="96" t="inlineStr">
        <is>
          <t>otool + Ghidra</t>
        </is>
      </c>
      <c r="H14" s="96" t="inlineStr">
        <is>
          <t>Não</t>
        </is>
      </c>
      <c r="I14" s="96" t="inlineStr">
        <is>
          <t>asm 0xb9d4-0xba4e; Ghidra; ctl-services normal.rs:483-495; captura 90 (MAClockSource 0x40000001)</t>
        </is>
      </c>
      <c r="J14" s="96">
        <f>IF(TRIM(I14)="",0,LEN(I14)-LEN(SUBSTITUTE(I14,";",""))+1)</f>
        <v/>
      </c>
      <c r="K14" s="96" t="inlineStr">
        <is>
          <t>Consistente</t>
        </is>
      </c>
      <c r="L14" s="97">
        <f>ROUND(IF(H14="Sim",MIN(Legenda!$C$12,MIN(10,IF(E14="Sim",Legenda!$C$4,IF(E14="Parcial",Legenda!$C$5,0))+IF(F14="Sim",Legenda!$C$6,IF(F14="Parcial",Legenda!$C$7,0))+IF(G14="otool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binário"),Legenda!$C$9,0))+MIN(Legenda!$C$11,MAX(0,J14-1)*Legenda!$C$10))),IF(H14="Parcial",MIN(Legenda!$C$13,MIN(10,IF(E14="Sim",Legenda!$C$4,IF(E14="Parcial",Legenda!$C$5,0))+IF(F14="Sim",Legenda!$C$6,IF(F14="Parcial",Legenda!$C$7,0))+IF(G14="otool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binário"),Legenda!$C$9,0))+MIN(Legenda!$C$11,MAX(0,J14-1)*Legenda!$C$10)))),1)</f>
        <v/>
      </c>
      <c r="M14" s="96" t="inlineStr">
        <is>
          <t>A1-ghidra/Q-AP0-nub-and-rev2.md §2.3</t>
        </is>
      </c>
      <c r="N14" s="96" t="inlineStr">
        <is>
          <t>—</t>
        </is>
      </c>
      <c r="O14" s="96" t="inlineStr">
        <is>
          <t>O ramo 'if (param_2) erro' mistura argumentos (bool vs valor): ler o asm 0xb9d4–0xba50. [2026-10-19] Fechado no asm: o bool não é lido; bits[1:0]=2 ou 3 (word clock, interno-mudo) são recusados (0xE00002C2).</t>
        </is>
      </c>
      <c r="P14" s="96">
        <f>LEFT(A14,FIND(".",A14&amp;".")-1)</f>
        <v/>
      </c>
    </row>
    <row r="15" ht="22.35" customHeight="1" s="21">
      <c r="A15" s="95" t="inlineStr">
        <is>
          <t>AP-0.2.8</t>
        </is>
      </c>
      <c r="B15" s="96" t="inlineStr">
        <is>
          <t>AP-0.2</t>
        </is>
      </c>
      <c r="C15" s="96" t="inlineStr">
        <is>
          <t>Latência round-trip Rev2 (base)</t>
        </is>
      </c>
      <c r="D15" s="96" t="inlineStr">
        <is>
          <t>FDF2 210, FDF3 457, FDF4 385, FDF5/6 397, default 226 quadros.</t>
        </is>
      </c>
      <c r="E15" s="96" t="inlineStr">
        <is>
          <t>Parcial</t>
        </is>
      </c>
      <c r="F15" s="96" t="inlineStr">
        <is>
          <t>Não</t>
        </is>
      </c>
      <c r="G15" s="96" t="inlineStr">
        <is>
          <t>Ghidra</t>
        </is>
      </c>
      <c r="H15" s="96" t="inlineStr">
        <is>
          <t>Não</t>
        </is>
      </c>
      <c r="I15" s="96" t="inlineStr">
        <is>
          <t>FWRev2AudioDevice::GetRoundTripLatencyForFDF @0x12a54 (Ghidra); Q16 tabela</t>
        </is>
      </c>
      <c r="J15" s="96">
        <f>IF(TRIM(I15)="",0,LEN(I15)-LEN(SUBSTITUTE(I15,";",""))+1)</f>
        <v/>
      </c>
      <c r="K15" s="96" t="inlineStr">
        <is>
          <t>Consistente</t>
        </is>
      </c>
      <c r="L15" s="97">
        <f>ROUND(IF(H15="Sim",MIN(Legenda!$C$12,MIN(10,IF(E15="Sim",Legenda!$C$4,IF(E15="Parcial",Legenda!$C$5,0))+IF(F15="Sim",Legenda!$C$6,IF(F15="Parcial",Legenda!$C$7,0))+IF(G15="otool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binário"),Legenda!$C$9,0))+MIN(Legenda!$C$11,MAX(0,J15-1)*Legenda!$C$10))),IF(H15="Parcial",MIN(Legenda!$C$13,MIN(10,IF(E15="Sim",Legenda!$C$4,IF(E15="Parcial",Legenda!$C$5,0))+IF(F15="Sim",Legenda!$C$6,IF(F15="Parcial",Legenda!$C$7,0))+IF(G15="otool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binário"),Legenda!$C$9,0))+MIN(Legenda!$C$11,MAX(0,J15-1)*Legenda!$C$10)))),1)</f>
        <v/>
      </c>
      <c r="M15" s="96" t="inlineStr">
        <is>
          <t>decomp/FWRev2AudioDevice__GetRoundTripLatencyForFDF.c</t>
        </is>
      </c>
      <c r="N15" s="96" t="inlineStr">
        <is>
          <t>—</t>
        </is>
      </c>
      <c r="O15" s="96" t="inlineStr">
        <is>
          <t>O Audiophile sobrescreve (AP-0.2.9).</t>
        </is>
      </c>
      <c r="P15" s="96">
        <f>LEFT(A15,FIND(".",A15&amp;".")-1)</f>
        <v/>
      </c>
    </row>
    <row r="16" ht="32.8" customHeight="1" s="21">
      <c r="A16" s="95" t="inlineStr">
        <is>
          <t>AP-0.2.9</t>
        </is>
      </c>
      <c r="B16" s="96" t="inlineStr">
        <is>
          <t>AP-0.2</t>
        </is>
      </c>
      <c r="C16" s="96" t="inlineStr">
        <is>
          <t>Latência round-trip do Audiophile</t>
        </is>
      </c>
      <c r="D16" s="96" t="inlineStr">
        <is>
          <t>FDF2 (48k) 196, FDF3 (88.2k) 330, FDF4 (96k) 354, default (44.1k e outras) 182 quadros.</t>
        </is>
      </c>
      <c r="E16" s="96" t="inlineStr">
        <is>
          <t>Sim</t>
        </is>
      </c>
      <c r="F16" s="96" t="inlineStr">
        <is>
          <t>Não</t>
        </is>
      </c>
      <c r="G16" s="96" t="inlineStr">
        <is>
          <t>otool + Ghidra</t>
        </is>
      </c>
      <c r="H16" s="96" t="inlineStr">
        <is>
          <t>Não</t>
        </is>
      </c>
      <c r="I16" s="96" t="inlineStr">
        <is>
          <t>asm 0xafde-0xb00c; Ghidra; Q10; audiophile-manual-reference §3.4</t>
        </is>
      </c>
      <c r="J16" s="96">
        <f>IF(TRIM(I16)="",0,LEN(I16)-LEN(SUBSTITUTE(I16,";",""))+1)</f>
        <v/>
      </c>
      <c r="K16" s="96" t="inlineStr">
        <is>
          <t>Consistente</t>
        </is>
      </c>
      <c r="L16" s="97">
        <f>ROUND(IF(H16="Sim",MIN(Legenda!$C$12,MIN(10,IF(E16="Sim",Legenda!$C$4,IF(E16="Parcial",Legenda!$C$5,0))+IF(F16="Sim",Legenda!$C$6,IF(F16="Parcial",Legenda!$C$7,0))+IF(G16="otool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binário"),Legenda!$C$9,0))+MIN(Legenda!$C$11,MAX(0,J16-1)*Legenda!$C$10))),IF(H16="Parcial",MIN(Legenda!$C$13,MIN(10,IF(E16="Sim",Legenda!$C$4,IF(E16="Parcial",Legenda!$C$5,0))+IF(F16="Sim",Legenda!$C$6,IF(F16="Parcial",Legenda!$C$7,0))+IF(G16="otool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binário"),Legenda!$C$9,0))+MIN(Legenda!$C$11,MAX(0,J16-1)*Legenda!$C$10)))),1)</f>
        <v/>
      </c>
      <c r="M16" s="96" t="inlineStr">
        <is>
          <t>A1-ghidra/Q-AP0-nub-and-rev2.md §2.4</t>
        </is>
      </c>
      <c r="N16" s="96" t="inlineStr">
        <is>
          <t>AUD-AP-08</t>
        </is>
      </c>
      <c r="O16" s="96" t="inlineStr">
        <is>
          <t>[2026-10-19] Confirmado no asm. Correction no Q10:11.</t>
        </is>
      </c>
      <c r="P16" s="96">
        <f>LEFT(A16,FIND(".",A16&amp;".")-1)</f>
        <v/>
      </c>
    </row>
    <row r="17" ht="43.25" customHeight="1" s="21">
      <c r="A17" s="95" t="inlineStr">
        <is>
          <t>AP-0.2.10</t>
        </is>
      </c>
      <c r="B17" s="96" t="inlineStr">
        <is>
          <t>AP-0.2</t>
        </is>
      </c>
      <c r="C17" s="96" t="inlineStr">
        <is>
          <t>Latência round-trip Rev1</t>
        </is>
      </c>
      <c r="D17" s="96" t="inlineStr">
        <is>
          <t>FDF1/2 (44.1/48) 186, FDF3 (88.2) 262, FDF4–6 (96/176.4/192) 292, FDF0 0.</t>
        </is>
      </c>
      <c r="E17" s="96" t="inlineStr">
        <is>
          <t>Sim</t>
        </is>
      </c>
      <c r="F17" s="96" t="inlineStr">
        <is>
          <t>Não</t>
        </is>
      </c>
      <c r="G17" s="96" t="inlineStr">
        <is>
          <t>otool + Ghidra</t>
        </is>
      </c>
      <c r="H17" s="96" t="inlineStr">
        <is>
          <t>Não</t>
        </is>
      </c>
      <c r="I17" s="96" t="inlineStr">
        <is>
          <t>asm 0x136da-0x1370a; Ghidra</t>
        </is>
      </c>
      <c r="J17" s="96">
        <f>IF(TRIM(I17)="",0,LEN(I17)-LEN(SUBSTITUTE(I17,";",""))+1)</f>
        <v/>
      </c>
      <c r="K17" s="96" t="inlineStr">
        <is>
          <t>Corrigido 2026-10-19</t>
        </is>
      </c>
      <c r="L17" s="97">
        <f>ROUND(IF(H17="Sim",MIN(Legenda!$C$12,MIN(10,IF(E17="Sim",Legenda!$C$4,IF(E17="Parcial",Legenda!$C$5,0))+IF(F17="Sim",Legenda!$C$6,IF(F17="Parcial",Legenda!$C$7,0))+IF(G17="otool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binário"),Legenda!$C$9,0))+MIN(Legenda!$C$11,MAX(0,J17-1)*Legenda!$C$10))),IF(H17="Parcial",MIN(Legenda!$C$13,MIN(10,IF(E17="Sim",Legenda!$C$4,IF(E17="Parcial",Legenda!$C$5,0))+IF(F17="Sim",Legenda!$C$6,IF(F17="Parcial",Legenda!$C$7,0))+IF(G17="otool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binário"),Legenda!$C$9,0))+MIN(Legenda!$C$11,MAX(0,J17-1)*Legenda!$C$10)))),1)</f>
        <v/>
      </c>
      <c r="M17" s="96" t="inlineStr">
        <is>
          <t>A1-ghidra/Q-AP0-nub-and-rev2.md §2.4</t>
        </is>
      </c>
      <c r="N17" s="96" t="inlineStr">
        <is>
          <t>AUD-AP-03</t>
        </is>
      </c>
      <c r="O17" s="96" t="inlineStr">
        <is>
          <t>Q16:39 dá outro mapeamento; sem efeito no 1814 (ele sobrescreve). [2026-10-19] Correction no Q16.</t>
        </is>
      </c>
      <c r="P17" s="96">
        <f>LEFT(A17,FIND(".",A17&amp;".")-1)</f>
        <v/>
      </c>
    </row>
    <row r="18" ht="22.35" customHeight="1" s="21">
      <c r="A18" s="95" t="inlineStr">
        <is>
          <t>AP-0.2.11</t>
        </is>
      </c>
      <c r="B18" s="96" t="inlineStr">
        <is>
          <t>AP-0.2</t>
        </is>
      </c>
      <c r="C18" s="96" t="inlineStr">
        <is>
          <t>Pacotes de controle (HSCI) no Rev2</t>
        </is>
      </c>
      <c r="D18" s="96" t="inlineStr">
        <is>
          <t>StartReceptionOfControlPackets: new FWHSCI em [+0x2c8], tamanho = vt[0xba0] (GetControlPacketSize), functor de retorno com tag 0xBB9, Start(workloop). Stop/Pause chamam HSCI e ClearPeakMeters; Resume só HSCI; stop() libera HSCI e a unidade AV/C.</t>
        </is>
      </c>
      <c r="E18" s="96" t="inlineStr">
        <is>
          <t>Parcial</t>
        </is>
      </c>
      <c r="F18" s="96" t="inlineStr">
        <is>
          <t>Não</t>
        </is>
      </c>
      <c r="G18" s="96" t="inlineStr">
        <is>
          <t>Ghidra</t>
        </is>
      </c>
      <c r="H18" s="96" t="inlineStr">
        <is>
          <t>Não</t>
        </is>
      </c>
      <c r="I18" s="96" t="inlineStr">
        <is>
          <t>FWRev2AudioDevice::{Start,Stop,Pause,Resume}ReceptionOfControlPackets, stop (Ghidra 2026-10-19); Q16</t>
        </is>
      </c>
      <c r="J18" s="96">
        <f>IF(TRIM(I18)="",0,LEN(I18)-LEN(SUBSTITUTE(I18,";",""))+1)</f>
        <v/>
      </c>
      <c r="K18" s="96" t="inlineStr">
        <is>
          <t>Consistente</t>
        </is>
      </c>
      <c r="L18" s="97">
        <f>ROUND(IF(H18="Sim",MIN(Legenda!$C$12,MIN(10,IF(E18="Sim",Legenda!$C$4,IF(E18="Parcial",Legenda!$C$5,0))+IF(F18="Sim",Legenda!$C$6,IF(F18="Parcial",Legenda!$C$7,0))+IF(G18="otool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binário"),Legenda!$C$9,0))+MIN(Legenda!$C$11,MAX(0,J18-1)*Legenda!$C$10))),IF(H18="Parcial",MIN(Legenda!$C$13,MIN(10,IF(E18="Sim",Legenda!$C$4,IF(E18="Parcial",Legenda!$C$5,0))+IF(F18="Sim",Legenda!$C$6,IF(F18="Parcial",Legenda!$C$7,0))+IF(G18="otool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binário"),Legenda!$C$9,0))+MIN(Legenda!$C$11,MAX(0,J18-1)*Legenda!$C$10)))),1)</f>
        <v/>
      </c>
      <c r="M18" s="96" t="inlineStr">
        <is>
          <t>A1-ghidra/Q-AP0-nub-and-rev2.md §2.5</t>
        </is>
      </c>
      <c r="N18" s="96" t="inlineStr">
        <is>
          <t>—</t>
        </is>
      </c>
      <c r="O18" s="96" t="inlineStr">
        <is>
          <t>O clone tem o equivalente aberto no FW1814Device: mover para a base Rev2 no AP-2.3.</t>
        </is>
      </c>
      <c r="P18" s="96">
        <f>LEFT(A18,FIND(".",A18&amp;".")-1)</f>
        <v/>
      </c>
    </row>
    <row r="19" ht="32.8" customHeight="1" s="21">
      <c r="A19" s="95" t="inlineStr">
        <is>
          <t>AP-0.2.12</t>
        </is>
      </c>
      <c r="B19" s="96" t="inlineStr">
        <is>
          <t>AP-0.2</t>
        </is>
      </c>
      <c r="C19" s="96" t="inlineStr">
        <is>
          <t>Métodos vazios do Rev2</t>
        </is>
      </c>
      <c r="D19" s="96" t="inlineStr">
        <is>
          <t>ReadHSCIData e StartExternalSyncUnmuteTimer são corpos vazios na base Rev2; initHardware só repassa ao pai. O Audiophile sobrescreve ReadHSCIData.</t>
        </is>
      </c>
      <c r="E19" s="96" t="inlineStr">
        <is>
          <t>Parcial</t>
        </is>
      </c>
      <c r="F19" s="96" t="inlineStr">
        <is>
          <t>Não</t>
        </is>
      </c>
      <c r="G19" s="96" t="inlineStr">
        <is>
          <t>Ghidra</t>
        </is>
      </c>
      <c r="H19" s="96" t="inlineStr">
        <is>
          <t>Não</t>
        </is>
      </c>
      <c r="I19" s="96" t="inlineStr">
        <is>
          <t>FWRev2AudioDevice::ReadHSCIData @0x12b6e, StartExternalSyncUnmuteTimer @0x12aa8, initHardware @0x12a3e (Ghidra)</t>
        </is>
      </c>
      <c r="J19" s="96">
        <f>IF(TRIM(I19)="",0,LEN(I19)-LEN(SUBSTITUTE(I19,";",""))+1)</f>
        <v/>
      </c>
      <c r="K19" s="96" t="inlineStr">
        <is>
          <t>Consistente</t>
        </is>
      </c>
      <c r="L19" s="97">
        <f>ROUND(IF(H19="Sim",MIN(Legenda!$C$12,MIN(10,IF(E19="Sim",Legenda!$C$4,IF(E19="Parcial",Legenda!$C$5,0))+IF(F19="Sim",Legenda!$C$6,IF(F19="Parcial",Legenda!$C$7,0))+IF(G19="otool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binário"),Legenda!$C$9,0))+MIN(Legenda!$C$11,MAX(0,J19-1)*Legenda!$C$10))),IF(H19="Parcial",MIN(Legenda!$C$13,MIN(10,IF(E19="Sim",Legenda!$C$4,IF(E19="Parcial",Legenda!$C$5,0))+IF(F19="Sim",Legenda!$C$6,IF(F19="Parcial",Legenda!$C$7,0))+IF(G19="otool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binário"),Legenda!$C$9,0))+MIN(Legenda!$C$11,MAX(0,J19-1)*Legenda!$C$10)))),1)</f>
        <v/>
      </c>
      <c r="M19" s="96" t="inlineStr">
        <is>
          <t>A1-ghidra/Q-AP0-nub-and-rev2.md §2.5</t>
        </is>
      </c>
      <c r="N19" s="96" t="inlineStr">
        <is>
          <t>—</t>
        </is>
      </c>
      <c r="O19" s="96" t="inlineStr"/>
      <c r="P19" s="96">
        <f>LEFT(A19,FIND(".",A19&amp;".")-1)</f>
        <v/>
      </c>
    </row>
    <row r="20" ht="22.35" customHeight="1" s="21">
      <c r="A20" s="95" t="inlineStr">
        <is>
          <t>AP-0.3.1</t>
        </is>
      </c>
      <c r="B20" s="96" t="inlineStr">
        <is>
          <t>AP-0.3</t>
        </is>
      </c>
      <c r="C20" s="96" t="inlineStr">
        <is>
          <t>Bytes AV/C do mixer (function blocks)</t>
        </is>
      </c>
      <c r="D20" s="96" t="inlineStr">
        <is>
          <t>Quatro quadros AV/C (CONTROL, subunidade 0x08, opcode 0xB8, atributo 0x10, fila assíncrona vt[0x8b0], resposta ignorada): feature 00 08 B8 81 fb 10 02 ch sel 02 v16 (sel 2 volume, 3 balanço; v16 = valor&lt;&lt;7, valor em ½ dB, balanço negado); seletor 00 08 B8 80 fb 10 02 in 01 00 00 00; mixer 00 08 B8 82 fb 10 04 plug inCh outCh 03 02 {00|80} 00 00 00; par = dois singles (2n−1, 2n).</t>
        </is>
      </c>
      <c r="E20" s="96" t="inlineStr">
        <is>
          <t>Sim</t>
        </is>
      </c>
      <c r="F20" s="96" t="inlineStr">
        <is>
          <t>Não</t>
        </is>
      </c>
      <c r="G20" s="96" t="inlineStr">
        <is>
          <t>otool + Ghidra</t>
        </is>
      </c>
      <c r="H20" s="96" t="inlineStr">
        <is>
          <t>Não</t>
        </is>
      </c>
      <c r="I20" s="96" t="inlineStr">
        <is>
          <t>Ghidra FWAVCAudioDevice::AVC* (2026-10-19); ctl-services normal.rs ~474-622; clone FWAvc.cpp:185-210 (mesmos bytes); asm das funções via FWAvc já verificado no 1814 (Q-ME)</t>
        </is>
      </c>
      <c r="J20" s="96">
        <f>IF(TRIM(I20)="",0,LEN(I20)-LEN(SUBSTITUTE(I20,";",""))+1)</f>
        <v/>
      </c>
      <c r="K20" s="96" t="inlineStr">
        <is>
          <t>Consistente</t>
        </is>
      </c>
      <c r="L20" s="97">
        <f>ROUND(IF(H20="Sim",MIN(Legenda!$C$12,MIN(10,IF(E20="Sim",Legenda!$C$4,IF(E20="Parcial",Legenda!$C$5,0))+IF(F20="Sim",Legenda!$C$6,IF(F20="Parcial",Legenda!$C$7,0))+IF(G20="otool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binário"),Legenda!$C$9,0))+MIN(Legenda!$C$11,MAX(0,J20-1)*Legenda!$C$10))),IF(H20="Parcial",MIN(Legenda!$C$13,MIN(10,IF(E20="Sim",Legenda!$C$4,IF(E20="Parcial",Legenda!$C$5,0))+IF(F20="Sim",Legenda!$C$6,IF(F20="Parcial",Legenda!$C$7,0))+IF(G20="otool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binário"),Legenda!$C$9,0))+MIN(Legenda!$C$11,MAX(0,J20-1)*Legenda!$C$10)))),1)</f>
        <v/>
      </c>
      <c r="M20" s="96" t="inlineStr">
        <is>
          <t>A1-ghidra/Q-AP0-avc-mixer.md §1</t>
        </is>
      </c>
      <c r="N20" s="96" t="inlineStr">
        <is>
          <t>—</t>
        </is>
      </c>
      <c r="O20" s="96" t="inlineStr">
        <is>
          <t>Próximo passo do AP-0.3; o rig SL não captura FCP (B5 §12). [2026-10-19] Fechado (R79). Os construtores já existem no clone 1814, byte a byte.</t>
        </is>
      </c>
      <c r="P20" s="96">
        <f>LEFT(A20,FIND(".",A20&amp;".")-1)</f>
        <v/>
      </c>
    </row>
    <row r="21" ht="22.35" customHeight="1" s="21">
      <c r="A21" s="95" t="inlineStr">
        <is>
          <t>AP-0.3.2</t>
        </is>
      </c>
      <c r="B21" s="96" t="inlineStr">
        <is>
          <t>AP-0.3</t>
        </is>
      </c>
      <c r="C21" s="96" t="inlineStr">
        <is>
          <t>Enum de MapChannelAndFunctionBlock</t>
        </is>
      </c>
      <c r="D21" s="96" t="inlineStr">
        <is>
          <t>Mapa kind → function block: 0 fontes aux (tabela 0x2f750: 9/0A/6/7/8), 1 fones 0F, 2 saídas 0C/0D/0E, 3 retornos SW 1/2/3, 4 não suportado, 5 seletor de saída = par, 6 entradas 4/5, 7 aux out 0B, 8 seletor de fones 4, 9 erro.</t>
        </is>
      </c>
      <c r="E21" s="96" t="inlineStr">
        <is>
          <t>Sim</t>
        </is>
      </c>
      <c r="F21" s="96" t="inlineStr">
        <is>
          <t>Não</t>
        </is>
      </c>
      <c r="G21" s="96" t="inlineStr">
        <is>
          <t>otool + Ghidra</t>
        </is>
      </c>
      <c r="H21" s="96" t="inlineStr">
        <is>
          <t>Não</t>
        </is>
      </c>
      <c r="I21" s="96" t="inlineStr">
        <is>
          <t>Ghidra MapChannelAndFunctionBlock @0xb0e2; bytes 0x2f750; ctl-services normal.rs (PhysInput 04/05, PhysOutput 0C-0E + seletores 1-3, AuxSource, AuxOutput 0B, Headphone 0F + seletor 4)</t>
        </is>
      </c>
      <c r="J21" s="96">
        <f>IF(TRIM(I21)="",0,LEN(I21)-LEN(SUBSTITUTE(I21,";",""))+1)</f>
        <v/>
      </c>
      <c r="K21" s="96" t="inlineStr">
        <is>
          <t>Consistente</t>
        </is>
      </c>
      <c r="L21" s="97">
        <f>ROUND(IF(H21="Sim",MIN(Legenda!$C$12,MIN(10,IF(E21="Sim",Legenda!$C$4,IF(E21="Parcial",Legenda!$C$5,0))+IF(F21="Sim",Legenda!$C$6,IF(F21="Parcial",Legenda!$C$7,0))+IF(G21="otool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binário"),Legenda!$C$9,0))+MIN(Legenda!$C$11,MAX(0,J21-1)*Legenda!$C$10))),IF(H21="Parcial",MIN(Legenda!$C$13,MIN(10,IF(E21="Sim",Legenda!$C$4,IF(E21="Parcial",Legenda!$C$5,0))+IF(F21="Sim",Legenda!$C$6,IF(F21="Parcial",Legenda!$C$7,0))+IF(G21="otool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binário"),Legenda!$C$9,0))+MIN(Legenda!$C$11,MAX(0,J21-1)*Legenda!$C$10)))),1)</f>
        <v/>
      </c>
      <c r="M21" s="96" t="inlineStr">
        <is>
          <t>A1-ghidra/Q-AP0-avc-mixer.md §2</t>
        </is>
      </c>
      <c r="N21" s="96" t="inlineStr">
        <is>
          <t>—</t>
        </is>
      </c>
      <c r="O21" s="96" t="inlineStr">
        <is>
          <t>[2026-10-19] Fechado (R79); resolve o item 5 do §8 do reference (linha aux 5/6 = fb 0x08).</t>
        </is>
      </c>
      <c r="P21" s="96">
        <f>LEFT(A21,FIND(".",A21&amp;".")-1)</f>
        <v/>
      </c>
    </row>
    <row r="22" ht="22.35" customHeight="1" s="21">
      <c r="A22" s="95" t="inlineStr">
        <is>
          <t>AP-0.4.1</t>
        </is>
      </c>
      <c r="B22" s="96" t="inlineStr">
        <is>
          <t>AP-0.4</t>
        </is>
      </c>
      <c r="C22" s="96" t="inlineStr">
        <is>
          <t>Pacote de status de 60 bytes</t>
        </is>
      </c>
      <c r="D22" s="96" t="inlineStr">
        <is>
          <t>GetControlPacketSize = 0x3C; NeedsControlPacketsForReadingHardwareControls = 1 (o Audiophile lê os controles do painel frontal pelos pacotes de controle).</t>
        </is>
      </c>
      <c r="E22" s="96" t="inlineStr">
        <is>
          <t>Parcial</t>
        </is>
      </c>
      <c r="F22" s="96" t="inlineStr">
        <is>
          <t>Não</t>
        </is>
      </c>
      <c r="G22" s="96" t="inlineStr">
        <is>
          <t>Ghidra</t>
        </is>
      </c>
      <c r="H22" s="96" t="inlineStr">
        <is>
          <t>Não</t>
        </is>
      </c>
      <c r="I22" s="96" t="inlineStr">
        <is>
          <t>FWAudiophileDevice::GetControlPacketSize @0xaf7e; NeedsControlPackets… @0xaa20 (Ghidra); snd-bebob bebob_maudio.c:58 METER_SIZE_AUDIOPHILE 60</t>
        </is>
      </c>
      <c r="J22" s="96">
        <f>IF(TRIM(I22)="",0,LEN(I22)-LEN(SUBSTITUTE(I22,";",""))+1)</f>
        <v/>
      </c>
      <c r="K22" s="96" t="inlineStr">
        <is>
          <t>Consistente</t>
        </is>
      </c>
      <c r="L22" s="97">
        <f>ROUND(IF(H22="Sim",MIN(Legenda!$C$12,MIN(10,IF(E22="Sim",Legenda!$C$4,IF(E22="Parcial",Legenda!$C$5,0))+IF(F22="Sim",Legenda!$C$6,IF(F22="Parcial",Legenda!$C$7,0))+IF(G22="otool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binário"),Legenda!$C$9,0))+MIN(Legenda!$C$11,MAX(0,J22-1)*Legenda!$C$10))),IF(H22="Parcial",MIN(Legenda!$C$13,MIN(10,IF(E22="Sim",Legenda!$C$4,IF(E22="Parcial",Legenda!$C$5,0))+IF(F22="Sim",Legenda!$C$6,IF(F22="Parcial",Legenda!$C$7,0))+IF(G22="otool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binário"),Legenda!$C$9,0))+MIN(Legenda!$C$11,MAX(0,J22-1)*Legenda!$C$10)))),1)</f>
        <v/>
      </c>
      <c r="M22" s="96" t="inlineStr">
        <is>
          <t>A1-ghidra/Q-AP0-nub-and-rev2.md §2.5</t>
        </is>
      </c>
      <c r="N22" s="96" t="inlineStr">
        <is>
          <t>—</t>
        </is>
      </c>
      <c r="O22" s="96" t="inlineStr"/>
      <c r="P22" s="96">
        <f>LEFT(A22,FIND(".",A22&amp;".")-1)</f>
        <v/>
      </c>
    </row>
    <row r="23" ht="22.35" customHeight="1" s="21">
      <c r="A23" s="95" t="inlineStr">
        <is>
          <t>AP-0.4.2</t>
        </is>
      </c>
      <c r="B23" s="96" t="inlineStr">
        <is>
          <t>AP-0.4</t>
        </is>
      </c>
      <c r="C23" s="96" t="inlineStr">
        <is>
          <t>Picos no pacote de status</t>
        </is>
      </c>
      <c r="D23" s="96" t="inlineStr">
        <is>
          <t>Quadlets 0–13 = picos (analog in 1–2, S/PDIF in 1–2, analog out 1–4, S/PDIF out 1–2, fones L/R, aux L/R): pico = 16 bits altos do quadlet big-endian → [+0x108][0..13]; slots 14–19 = retornos SW calculados no host ([+0x110]).</t>
        </is>
      </c>
      <c r="E23" s="96" t="inlineStr">
        <is>
          <t>Sim</t>
        </is>
      </c>
      <c r="F23" s="96" t="inlineStr">
        <is>
          <t>Não</t>
        </is>
      </c>
      <c r="G23" s="96" t="inlineStr">
        <is>
          <t>otool + Ghidra</t>
        </is>
      </c>
      <c r="H23" s="96" t="inlineStr">
        <is>
          <t>Não</t>
        </is>
      </c>
      <c r="I23" s="96" t="inlineStr">
        <is>
          <t>asm 0xba92-0xbb99; Ghidra UpdatePeakMeters @0x12aae; Apple IOFWReadQuadCommand.cpp:67 (sem swap); snd-bebob bebob_maudio.c:651-655; ctl-services normal.rs read_meter</t>
        </is>
      </c>
      <c r="J23" s="96">
        <f>IF(TRIM(I23)="",0,LEN(I23)-LEN(SUBSTITUTE(I23,";",""))+1)</f>
        <v/>
      </c>
      <c r="K23" s="96" t="inlineStr">
        <is>
          <t>Consistente</t>
        </is>
      </c>
      <c r="L23" s="97">
        <f>ROUND(IF(H23="Sim",MIN(Legenda!$C$12,MIN(10,IF(E23="Sim",Legenda!$C$4,IF(E23="Parcial",Legenda!$C$5,0))+IF(F23="Sim",Legenda!$C$6,IF(F23="Parcial",Legenda!$C$7,0))+IF(G23="otool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binário"),Legenda!$C$9,0))+MIN(Legenda!$C$11,MAX(0,J23-1)*Legenda!$C$10))),IF(H23="Parcial",MIN(Legenda!$C$13,MIN(10,IF(E23="Sim",Legenda!$C$4,IF(E23="Parcial",Legenda!$C$5,0))+IF(F23="Sim",Legenda!$C$6,IF(F23="Parcial",Legenda!$C$7,0))+IF(G23="otool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binário"),Legenda!$C$9,0))+MIN(Legenda!$C$11,MAX(0,J23-1)*Legenda!$C$10)))),1)</f>
        <v/>
      </c>
      <c r="M23" s="96" t="inlineStr">
        <is>
          <t>A1-ghidra/Q-AP0-status-packet-front-panel.md §2</t>
        </is>
      </c>
      <c r="N23" s="96" t="inlineStr">
        <is>
          <t>—</t>
        </is>
      </c>
      <c r="O23" s="96" t="inlineStr">
        <is>
          <t>'16 bits altos do quadlet BE' supõe buffer cru na ordem do fio (UpdatePeakMeters faz o swap); conferir no asm. [2026-10-19] Fechado (R78): buffer em ordem do fio; ordem dos rótulos igual a snd-bebob e ctl-services.</t>
        </is>
      </c>
      <c r="P23" s="96">
        <f>LEFT(A23,FIND(".",A23&amp;".")-1)</f>
        <v/>
      </c>
    </row>
    <row r="24" ht="22.35" customHeight="1" s="21">
      <c r="A24" s="95" t="inlineStr">
        <is>
          <t>AP-0.4.3</t>
        </is>
      </c>
      <c r="B24" s="96" t="inlineStr">
        <is>
          <t>AP-0.4</t>
        </is>
      </c>
      <c r="C24" s="96" t="inlineStr">
        <is>
          <t>Quadlet de status (offset 0x38)</t>
        </is>
      </c>
      <c r="D24" s="96" t="inlineStr">
        <is>
          <t>Palavra de status (bytes do fio w0..w3): w3≠0 = sync externo; w2 = código de taxa; w1 nibble baixo = encoder 1 (Level Controller), nibble alto = encoder 2 (fones), valores 1 = +1 detente, 2 = −1; w0 bits 4–7 ≠ 0 = botão A/B.</t>
        </is>
      </c>
      <c r="E24" s="96" t="inlineStr">
        <is>
          <t>Sim</t>
        </is>
      </c>
      <c r="F24" s="96" t="inlineStr">
        <is>
          <t>Não</t>
        </is>
      </c>
      <c r="G24" s="96" t="inlineStr">
        <is>
          <t>otool + Ghidra</t>
        </is>
      </c>
      <c r="H24" s="96" t="inlineStr">
        <is>
          <t>Não</t>
        </is>
      </c>
      <c r="I24" s="96" t="inlineStr">
        <is>
          <t>asm 0xba92-0xbb99; TRotaryControl::RotaryValueChanged @0xc2ba; ctor asm 0xbee0/0xbeea (passo 1); ctl-services normal.rs read_meter (rotaries/switch/sync)</t>
        </is>
      </c>
      <c r="J24" s="96">
        <f>IF(TRIM(I24)="",0,LEN(I24)-LEN(SUBSTITUTE(I24,";",""))+1)</f>
        <v/>
      </c>
      <c r="K24" s="96" t="inlineStr">
        <is>
          <t>Consistente</t>
        </is>
      </c>
      <c r="L24" s="97">
        <f>ROUND(IF(H24="Sim",MIN(Legenda!$C$12,MIN(10,IF(E24="Sim",Legenda!$C$4,IF(E24="Parcial",Legenda!$C$5,0))+IF(F24="Sim",Legenda!$C$6,IF(F24="Parcial",Legenda!$C$7,0))+IF(G24="otool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binário"),Legenda!$C$9,0))+MIN(Legenda!$C$11,MAX(0,J24-1)*Legenda!$C$10))),IF(H24="Parcial",MIN(Legenda!$C$13,MIN(10,IF(E24="Sim",Legenda!$C$4,IF(E24="Parcial",Legenda!$C$5,0))+IF(F24="Sim",Legenda!$C$6,IF(F24="Parcial",Legenda!$C$7,0))+IF(G24="otool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binário"),Legenda!$C$9,0))+MIN(Legenda!$C$11,MAX(0,J24-1)*Legenda!$C$10)))),1)</f>
        <v/>
      </c>
      <c r="M24" s="96" t="inlineStr">
        <is>
          <t>A1-ghidra/Q-AP0-status-packet-front-panel.md §2</t>
        </is>
      </c>
      <c r="N24" s="96" t="inlineStr">
        <is>
          <t>—</t>
        </is>
      </c>
      <c r="O24" s="96" t="inlineStr">
        <is>
          <t>Ordem de bytes e qual encoder é o Level Controller: asm + ctl-services. [2026-10-19] Fechado (R78). Qual knob físico é o encoder 1: só no hardware (AP-7.7).</t>
        </is>
      </c>
      <c r="P24" s="96">
        <f>LEFT(A24,FIND(".",A24&amp;".")-1)</f>
        <v/>
      </c>
    </row>
    <row r="25" ht="22.35" customHeight="1" s="21">
      <c r="A25" s="95" t="inlineStr">
        <is>
          <t>AP-0.4.4</t>
        </is>
      </c>
      <c r="B25" s="96" t="inlineStr">
        <is>
          <t>AP-0.4</t>
        </is>
      </c>
      <c r="C25" s="96" t="inlineStr">
        <is>
          <t>Comando vendor dos LEDs (A/B)</t>
        </is>
      </c>
      <c r="D25" s="96" t="inlineStr">
        <is>
          <t>LED A/B: CONTROL vendor-dependent de 16 bytes 00 FF 00 | 00 0D 6C | 02 00 01 &lt;v&gt; + zeros; v = 0 desligado, 1 = A, 2 = B (3 = outro estado).</t>
        </is>
      </c>
      <c r="E25" s="96" t="inlineStr">
        <is>
          <t>Sim</t>
        </is>
      </c>
      <c r="F25" s="96" t="inlineStr">
        <is>
          <t>Não</t>
        </is>
      </c>
      <c r="G25" s="96" t="inlineStr">
        <is>
          <t>otool + Ghidra</t>
        </is>
      </c>
      <c r="H25" s="96" t="inlineStr">
        <is>
          <t>Não</t>
        </is>
      </c>
      <c r="I25" s="96" t="inlineStr">
        <is>
          <t>asm 0xb7d0; asm 0x23970-0x23ad6 (AVCVendorCommand a,b,n,data); FWSettingsABSwitch::UpdateLEDs (Ghidra); ctl-services normal.rs AudiophileLedSwitch</t>
        </is>
      </c>
      <c r="J25" s="96">
        <f>IF(TRIM(I25)="",0,LEN(I25)-LEN(SUBSTITUTE(I25,";",""))+1)</f>
        <v/>
      </c>
      <c r="K25" s="96" t="inlineStr">
        <is>
          <t>Consistente</t>
        </is>
      </c>
      <c r="L25" s="97">
        <f>ROUND(IF(H25="Sim",MIN(Legenda!$C$12,MIN(10,IF(E25="Sim",Legenda!$C$4,IF(E25="Parcial",Legenda!$C$5,0))+IF(F25="Sim",Legenda!$C$6,IF(F25="Parcial",Legenda!$C$7,0))+IF(G25="otool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binário"),Legenda!$C$9,0))+MIN(Legenda!$C$11,MAX(0,J25-1)*Legenda!$C$10))),IF(H25="Parcial",MIN(Legenda!$C$13,MIN(10,IF(E25="Sim",Legenda!$C$4,IF(E25="Parcial",Legenda!$C$5,0))+IF(F25="Sim",Legenda!$C$6,IF(F25="Parcial",Legenda!$C$7,0))+IF(G25="otool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binário"),Legenda!$C$9,0))+MIN(Legenda!$C$11,MAX(0,J25-1)*Legenda!$C$10)))),1)</f>
        <v/>
      </c>
      <c r="M25" s="96" t="inlineStr">
        <is>
          <t>A1-ghidra/Q-AP0-status-packet-front-panel.md §4</t>
        </is>
      </c>
      <c r="N25" s="96" t="inlineStr">
        <is>
          <t>—</t>
        </is>
      </c>
      <c r="O25" s="96" t="inlineStr">
        <is>
          <t>[2026-10-19] Fechado (R78). ctl-services: mesmos bytes significativos, enchimento FF FF (12 B).</t>
        </is>
      </c>
      <c r="P25" s="96">
        <f>LEFT(A25,FIND(".",A25&amp;".")-1)</f>
        <v/>
      </c>
    </row>
    <row r="26" ht="22.35" customHeight="1" s="21">
      <c r="A26" s="95" t="inlineStr">
        <is>
          <t>AP-0.4.5</t>
        </is>
      </c>
      <c r="B26" s="96" t="inlineStr">
        <is>
          <t>AP-0.4</t>
        </is>
      </c>
      <c r="C26" s="96" t="inlineStr">
        <is>
          <t>Período de leitura do pacote de status</t>
        </is>
      </c>
      <c r="D26" s="96" t="inlineStr">
        <is>
          <t>Leitura de size/4 quadlets em 0xFFC7:0x00600000 a cada 50 ms após cada leitura completa; 1000 ms depois de erro; Pause/Resume contados.</t>
        </is>
      </c>
      <c r="E26" s="96" t="inlineStr">
        <is>
          <t>Parcial</t>
        </is>
      </c>
      <c r="F26" s="96" t="inlineStr">
        <is>
          <t>Não</t>
        </is>
      </c>
      <c r="G26" s="96" t="inlineStr">
        <is>
          <t>Ghidra</t>
        </is>
      </c>
      <c r="H26" s="96" t="inlineStr">
        <is>
          <t>Não</t>
        </is>
      </c>
      <c r="I26" s="96" t="inlineStr">
        <is>
          <t>FWHSCI::Start, HSCITimerFired, HSCIReadComplete, HSCISafelyComplete, Pause, Resume (Ghidra 2026-10-19)</t>
        </is>
      </c>
      <c r="J26" s="96">
        <f>IF(TRIM(I26)="",0,LEN(I26)-LEN(SUBSTITUTE(I26,";",""))+1)</f>
        <v/>
      </c>
      <c r="K26" s="96" t="inlineStr">
        <is>
          <t>Consistente</t>
        </is>
      </c>
      <c r="L26" s="97">
        <f>ROUND(IF(H26="Sim",MIN(Legenda!$C$12,MIN(10,IF(E26="Sim",Legenda!$C$4,IF(E26="Parcial",Legenda!$C$5,0))+IF(F26="Sim",Legenda!$C$6,IF(F26="Parcial",Legenda!$C$7,0))+IF(G26="otool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binário"),Legenda!$C$9,0))+MIN(Legenda!$C$11,MAX(0,J26-1)*Legenda!$C$10))),IF(H26="Parcial",MIN(Legenda!$C$13,MIN(10,IF(E26="Sim",Legenda!$C$4,IF(E26="Parcial",Legenda!$C$5,0))+IF(F26="Sim",Legenda!$C$6,IF(F26="Parcial",Legenda!$C$7,0))+IF(G26="otool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binário"),Legenda!$C$9,0))+MIN(Legenda!$C$11,MAX(0,J26-1)*Legenda!$C$10)))),1)</f>
        <v/>
      </c>
      <c r="M26" s="96" t="inlineStr">
        <is>
          <t>A1-ghidra/Q-AP0-status-packet-front-panel.md §1</t>
        </is>
      </c>
      <c r="N26" s="96" t="inlineStr">
        <is>
          <t>—</t>
        </is>
      </c>
      <c r="O26" s="96" t="inlineStr">
        <is>
          <t>Ler FWHSCI::Start/timer com o tamanho 0x3C. [2026-10-19] Fechado (R78): mesma regra de 50 ms do 1814.</t>
        </is>
      </c>
      <c r="P26" s="96">
        <f>LEFT(A26,FIND(".",A26&amp;".")-1)</f>
        <v/>
      </c>
    </row>
    <row r="27" ht="22.35" customHeight="1" s="21">
      <c r="A27" s="95" t="inlineStr">
        <is>
          <t>AP-0.5.1</t>
        </is>
      </c>
      <c r="B27" s="96" t="inlineStr">
        <is>
          <t>AP-0.5</t>
        </is>
      </c>
      <c r="C27" s="96" t="inlineStr">
        <is>
          <t>Layout do objeto FWAudiophileDevice</t>
        </is>
      </c>
      <c r="D27" s="96" t="inlineStr">
        <is>
          <t>Tamanho 0x17E0. 0x000–0x2cf base (0xe8 trava, 0xf8 dict, 0x108 página de picos, 0x110 picos do host, 0x118 MAClockSource, 0x268 unidade AV/C, 0x2c8 HSCI); 0x2d0 ABSwitch; 0x468 RotaryControl; 0x530 AuxSend; 0x808 Levels; 0x1268/0x126c passos; 0x1270 grupos (saídas 6, entradas 4, SW 6, fones 2, envios aux 10, aux out 2).</t>
        </is>
      </c>
      <c r="E27" s="96" t="inlineStr">
        <is>
          <t>Sim</t>
        </is>
      </c>
      <c r="F27" s="96" t="inlineStr">
        <is>
          <t>Não</t>
        </is>
      </c>
      <c r="G27" s="96" t="inlineStr">
        <is>
          <t>otool + Ghidra</t>
        </is>
      </c>
      <c r="H27" s="96" t="inlineStr">
        <is>
          <t>Não</t>
        </is>
      </c>
      <c r="I27" s="96" t="inlineStr">
        <is>
          <t>asm 0xb6c9 (alloc 0x17e0); ctor @0xc140; $_667 ctor; InitializeUserSettableProperties @0xb7e6; vtable 0x35680 slots 0xbc8/0xb48/0xb40/0xac8; FW32BitNumberProp::CallSetter</t>
        </is>
      </c>
      <c r="J27" s="96">
        <f>IF(TRIM(I27)="",0,LEN(I27)-LEN(SUBSTITUTE(I27,";",""))+1)</f>
        <v/>
      </c>
      <c r="K27" s="96" t="inlineStr">
        <is>
          <t>Consistente</t>
        </is>
      </c>
      <c r="L27" s="97">
        <f>ROUND(IF(H27="Sim",MIN(Legenda!$C$12,MIN(10,IF(E27="Sim",Legenda!$C$4,IF(E27="Parcial",Legenda!$C$5,0))+IF(F27="Sim",Legenda!$C$6,IF(F27="Parcial",Legenda!$C$7,0))+IF(G27="otool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binário"),Legenda!$C$9,0))+MIN(Legenda!$C$11,MAX(0,J27-1)*Legenda!$C$10))),IF(H27="Parcial",MIN(Legenda!$C$13,MIN(10,IF(E27="Sim",Legenda!$C$4,IF(E27="Parcial",Legenda!$C$5,0))+IF(F27="Sim",Legenda!$C$6,IF(F27="Parcial",Legenda!$C$7,0))+IF(G27="otool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binário"),Legenda!$C$9,0))+MIN(Legenda!$C$11,MAX(0,J27-1)*Legenda!$C$10)))),1)</f>
        <v/>
      </c>
      <c r="M27" s="96" t="inlineStr">
        <is>
          <t>A1-ghidra/Q-AP0-nub-and-rev2.md §4</t>
        </is>
      </c>
      <c r="N27" s="96" t="inlineStr">
        <is>
          <t>—</t>
        </is>
      </c>
      <c r="O27" s="96" t="inlineStr">
        <is>
          <t>[2026-10-19] Fechado (R81); fecha o item 10 do §8 do reference. [2026-10-19] Correção R85: +0xe8 é o engine principal (pause/resumeAudioEngine), não uma trava.</t>
        </is>
      </c>
      <c r="P27" s="96">
        <f>LEFT(A27,FIND(".",A27&amp;".")-1)</f>
        <v/>
      </c>
    </row>
    <row r="28" ht="22.35" customHeight="1" s="21">
      <c r="A28" s="95" t="inlineStr">
        <is>
          <t>AP-0.6.1</t>
        </is>
      </c>
      <c r="B28" s="96" t="inlineStr">
        <is>
          <t>AP-0.6</t>
        </is>
      </c>
      <c r="C28" s="96" t="inlineStr">
        <is>
          <t>Chaves MA* escritas pelo painel v1.9</t>
        </is>
      </c>
      <c r="D28" s="96" t="inlineStr">
        <is>
          <t>14 chaves em 266 escritas: MAInputRoutingV2, MAInputPan2, MAAuxSendLevels, MASWReturnLevels, MAHeadphoneSourceV2, MAMomentarySwitchRoutings, MAMomentarySwitchSource, MASWReturnMute, MASWReturnSolo, MASWReturnRoutingV2, MAMonitorAuxOnOutput, MAClockSource, MAGlobalMute, MAGlobalDim.</t>
        </is>
      </c>
      <c r="E28" s="96" t="inlineStr">
        <is>
          <t>Sim</t>
        </is>
      </c>
      <c r="F28" s="96" t="inlineStr">
        <is>
          <t>Sim</t>
        </is>
      </c>
      <c r="G28" s="96" t="inlineStr">
        <is>
          <t>Nenhum</t>
        </is>
      </c>
      <c r="H28" s="96" t="inlineStr">
        <is>
          <t>Não</t>
        </is>
      </c>
      <c r="I28" s="96" t="inlineStr">
        <is>
          <t>captura 90 (setProperties cru, SL v1.9, decodificada 2026-10-19); grep no kext do clone (MASWReturnMute/Solo sem tratador)</t>
        </is>
      </c>
      <c r="J28" s="96">
        <f>IF(TRIM(I28)="",0,LEN(I28)-LEN(SUBSTITUTE(I28,";",""))+1)</f>
        <v/>
      </c>
      <c r="K28" s="96" t="inlineStr">
        <is>
          <t>Consistente</t>
        </is>
      </c>
      <c r="L28" s="97">
        <f>ROUND(IF(H28="Sim",MIN(Legenda!$C$12,MIN(10,IF(E28="Sim",Legenda!$C$4,IF(E28="Parcial",Legenda!$C$5,0))+IF(F28="Sim",Legenda!$C$6,IF(F28="Parcial",Legenda!$C$7,0))+IF(G28="otool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binário"),Legenda!$C$9,0))+MIN(Legenda!$C$11,MAX(0,J28-1)*Legenda!$C$10))),IF(H28="Parcial",MIN(Legenda!$C$13,MIN(10,IF(E28="Sim",Legenda!$C$4,IF(E28="Parcial",Legenda!$C$5,0))+IF(F28="Sim",Legenda!$C$6,IF(F28="Parcial",Legenda!$C$7,0))+IF(G28="otool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binário"),Legenda!$C$9,0))+MIN(Legenda!$C$11,MAX(0,J28-1)*Legenda!$C$10)))),1)</f>
        <v/>
      </c>
      <c r="M28" s="96" t="inlineStr">
        <is>
          <t>captures/90-sl-audiophile-panel-setproperties-raw.txt</t>
        </is>
      </c>
      <c r="N28" s="96" t="inlineStr">
        <is>
          <t>AUD-AP-07</t>
        </is>
      </c>
      <c r="O28" s="96" t="inlineStr">
        <is>
          <t>v1.9; cruzar com FWAudiophileDevice::InitializeUserSettableProperties (v1.11.2). [2026-10-19] Todas as 14 chaves aparecem no conjunto de cookies do painel v1.11.2 (R82).</t>
        </is>
      </c>
      <c r="P28" s="96">
        <f>LEFT(A28,FIND(".",A28&amp;".")-1)</f>
        <v/>
      </c>
    </row>
    <row r="29" ht="22.35" customHeight="1" s="21">
      <c r="A29" s="95" t="inlineStr">
        <is>
          <t>AP-0.6.2</t>
        </is>
      </c>
      <c r="B29" s="96" t="inlineStr">
        <is>
          <t>AP-0.6</t>
        </is>
      </c>
      <c r="C29" s="96" t="inlineStr">
        <is>
          <t>Visão do painel (CXAudiophileDevice)</t>
        </is>
      </c>
      <c r="D29" s="96" t="inlineStr">
        <is>
          <t>Tipo do painel = 'FWDJ' (0x4657444A); classes CFWDJ* (settings, mixer, strip, output, fones, hardware, global, medidores) sobre as visões genéricas; 4 abas; contagens 10 saídas / 10 mixer / 4 entradas / 2 fones.</t>
        </is>
      </c>
      <c r="E29" s="96" t="inlineStr">
        <is>
          <t>Parcial</t>
        </is>
      </c>
      <c r="F29" s="96" t="inlineStr">
        <is>
          <t>Não</t>
        </is>
      </c>
      <c r="G29" s="96" t="inlineStr">
        <is>
          <t>Ghidra</t>
        </is>
      </c>
      <c r="H29" s="96" t="inlineStr">
        <is>
          <t>Não</t>
        </is>
      </c>
      <c r="I29" s="96" t="inlineStr">
        <is>
          <t>Ghidra cfwdj-audiophile-2026-10-19.txt (164 funções); CFWUniDeviceList::CreateNewDevice @0x6a9d6; CX*Device::GetDeviceType</t>
        </is>
      </c>
      <c r="J29" s="96">
        <f>IF(TRIM(I29)="",0,LEN(I29)-LEN(SUBSTITUTE(I29,";",""))+1)</f>
        <v/>
      </c>
      <c r="K29" s="96" t="inlineStr">
        <is>
          <t>Consistente</t>
        </is>
      </c>
      <c r="L29" s="97">
        <f>ROUND(IF(H29="Sim",MIN(Legenda!$C$12,MIN(10,IF(E29="Sim",Legenda!$C$4,IF(E29="Parcial",Legenda!$C$5,0))+IF(F29="Sim",Legenda!$C$6,IF(F29="Parcial",Legenda!$C$7,0))+IF(G29="otool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binário"),Legenda!$C$9,0))+MIN(Legenda!$C$11,MAX(0,J29-1)*Legenda!$C$10))),IF(H29="Parcial",MIN(Legenda!$C$13,MIN(10,IF(E29="Sim",Legenda!$C$4,IF(E29="Parcial",Legenda!$C$5,0))+IF(F29="Sim",Legenda!$C$6,IF(F29="Parcial",Legenda!$C$7,0))+IF(G29="otool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binário"),Legenda!$C$9,0))+MIN(Legenda!$C$11,MAX(0,J29-1)*Legenda!$C$10)))),1)</f>
        <v/>
      </c>
      <c r="M29" s="96" t="inlineStr">
        <is>
          <t>A2-panel/PNAP-control-key-map.md §1</t>
        </is>
      </c>
      <c r="N29" s="96" t="inlineStr">
        <is>
          <t>—</t>
        </is>
      </c>
      <c r="O29" s="96" t="inlineStr">
        <is>
          <t>Decompilar os getters e quem consome GetDeviceType. [2026-10-19] Fechado (R82). Visual das telas (PPob) não lido: capturas de tela no rig SL (AP-0.9).</t>
        </is>
      </c>
      <c r="P29" s="96">
        <f>LEFT(A29,FIND(".",A29&amp;".")-1)</f>
        <v/>
      </c>
    </row>
    <row r="30" ht="22.35" customHeight="1" s="21">
      <c r="A30" s="95" t="inlineStr">
        <is>
          <t>AP-0.7.1</t>
        </is>
      </c>
      <c r="B30" s="96" t="inlineStr">
        <is>
          <t>AP-0.7</t>
        </is>
      </c>
      <c r="C30" s="96" t="inlineStr">
        <is>
          <t>SetupAudioEngine do Audiophile</t>
        </is>
      </c>
      <c r="D30" s="96" t="inlineStr">
        <is>
          <t>6 saídas / 4 entradas ([+0x2e0]=6, [+0x2e4]=4, [+0x2ec]=6, [+0x2f0]=4), MIDI 1 entrada/1 saída, [+0x2e8]=1, conversores _ConvertLLRR4SkipMIDI1 (entrada), _RearrangeSampleFrameLLRR6 (saída), _SamplePeaks6.</t>
        </is>
      </c>
      <c r="E30" s="96" t="inlineStr">
        <is>
          <t>Parcial</t>
        </is>
      </c>
      <c r="F30" s="96" t="inlineStr">
        <is>
          <t>Sim</t>
        </is>
      </c>
      <c r="G30" s="96" t="inlineStr">
        <is>
          <t>Ghidra</t>
        </is>
      </c>
      <c r="H30" s="96" t="inlineStr">
        <is>
          <t>Não</t>
        </is>
      </c>
      <c r="I30" s="96" t="inlineStr">
        <is>
          <t>FWAudiophileDevice::SetupAudioEngine @0xbb9a (Ghidra); captura 89 (6/4 canais, 1 porta MIDI)</t>
        </is>
      </c>
      <c r="J30" s="96">
        <f>IF(TRIM(I30)="",0,LEN(I30)-LEN(SUBSTITUTE(I30,";",""))+1)</f>
        <v/>
      </c>
      <c r="K30" s="96" t="inlineStr">
        <is>
          <t>Consistente</t>
        </is>
      </c>
      <c r="L30" s="97">
        <f>ROUND(IF(H30="Sim",MIN(Legenda!$C$12,MIN(10,IF(E30="Sim",Legenda!$C$4,IF(E30="Parcial",Legenda!$C$5,0))+IF(F30="Sim",Legenda!$C$6,IF(F30="Parcial",Legenda!$C$7,0))+IF(G30="otool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binário"),Legenda!$C$9,0))+MIN(Legenda!$C$11,MAX(0,J30-1)*Legenda!$C$10))),IF(H30="Parcial",MIN(Legenda!$C$13,MIN(10,IF(E30="Sim",Legenda!$C$4,IF(E30="Parcial",Legenda!$C$5,0))+IF(F30="Sim",Legenda!$C$6,IF(F30="Parcial",Legenda!$C$7,0))+IF(G30="otool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binário"),Legenda!$C$9,0))+MIN(Legenda!$C$11,MAX(0,J30-1)*Legenda!$C$10)))),1)</f>
        <v/>
      </c>
      <c r="M30" s="96" t="inlineStr">
        <is>
          <t>decomp/FWAudiophileDevice__SetupAudioEngine.c</t>
        </is>
      </c>
      <c r="N30" s="96" t="inlineStr">
        <is>
          <t>—</t>
        </is>
      </c>
      <c r="O30" s="96" t="inlineStr">
        <is>
          <t>Significado de [+0x2e8]=1: ler no FWBaseEngine. [2026-10-19] [+0x2e8] = m, quadlets MIDI por quadro (= fMidiChannels do clone, R87).</t>
        </is>
      </c>
      <c r="P30" s="96">
        <f>LEFT(A30,FIND(".",A30&amp;".")-1)</f>
        <v/>
      </c>
    </row>
    <row r="31" ht="32.8" customHeight="1" s="21">
      <c r="A31" s="95" t="inlineStr">
        <is>
          <t>AP-0.7.2</t>
        </is>
      </c>
      <c r="B31" s="96" t="inlineStr">
        <is>
          <t>AP-0.7</t>
        </is>
      </c>
      <c r="C31" s="96" t="inlineStr">
        <is>
          <t>AC-3</t>
        </is>
      </c>
      <c r="D31" s="96" t="inlineStr">
        <is>
          <t>IndexForAC3OutputChannels = (2, 5); o v1.9 anuncia formatos AC-3 (2 ch, 16 bits, 1536 quadros) a 44.1/48/96 kHz.</t>
        </is>
      </c>
      <c r="E31" s="96" t="inlineStr">
        <is>
          <t>Parcial</t>
        </is>
      </c>
      <c r="F31" s="96" t="inlineStr">
        <is>
          <t>Sim</t>
        </is>
      </c>
      <c r="G31" s="96" t="inlineStr">
        <is>
          <t>Ghidra</t>
        </is>
      </c>
      <c r="H31" s="96" t="inlineStr">
        <is>
          <t>Não</t>
        </is>
      </c>
      <c r="I31" s="96" t="inlineStr">
        <is>
          <t>FWAudiophileDevice::IndexForAC3OutputChannels @0xaa0e (Ghidra); captura 89 (IOAudioStreamAvailableFormats)</t>
        </is>
      </c>
      <c r="J31" s="96">
        <f>IF(TRIM(I31)="",0,LEN(I31)-LEN(SUBSTITUTE(I31,";",""))+1)</f>
        <v/>
      </c>
      <c r="K31" s="96" t="inlineStr">
        <is>
          <t>Consistente</t>
        </is>
      </c>
      <c r="L31" s="97">
        <f>ROUND(IF(H31="Sim",MIN(Legenda!$C$12,MIN(10,IF(E31="Sim",Legenda!$C$4,IF(E31="Parcial",Legenda!$C$5,0))+IF(F31="Sim",Legenda!$C$6,IF(F31="Parcial",Legenda!$C$7,0))+IF(G31="otool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binário"),Legenda!$C$9,0))+MIN(Legenda!$C$11,MAX(0,J31-1)*Legenda!$C$10))),IF(H31="Parcial",MIN(Legenda!$C$13,MIN(10,IF(E31="Sim",Legenda!$C$4,IF(E31="Parcial",Legenda!$C$5,0))+IF(F31="Sim",Legenda!$C$6,IF(F31="Parcial",Legenda!$C$7,0))+IF(G31="otool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binário"),Legenda!$C$9,0))+MIN(Legenda!$C$11,MAX(0,J31-1)*Legenda!$C$10)))),1)</f>
        <v/>
      </c>
      <c r="M31" s="96" t="inlineStr">
        <is>
          <t>decomp/FWAudiophileDevice__IndexForAC3OutputChannels.c</t>
        </is>
      </c>
      <c r="N31" s="96" t="inlineStr">
        <is>
          <t>—</t>
        </is>
      </c>
      <c r="O31" s="96" t="inlineStr">
        <is>
          <t>Decide o AP-3.8 com o v1.11.2.</t>
        </is>
      </c>
      <c r="P31" s="96">
        <f>LEFT(A31,FIND(".",A31&amp;".")-1)</f>
        <v/>
      </c>
    </row>
    <row r="32" ht="22.35" customHeight="1" s="21">
      <c r="A32" s="95" t="inlineStr">
        <is>
          <t>AP-0.7.3</t>
        </is>
      </c>
      <c r="B32" s="96" t="inlineStr">
        <is>
          <t>AP-0.7</t>
        </is>
      </c>
      <c r="C32" s="96" t="inlineStr">
        <is>
          <t>Ordem de canais no fio (LLRR)</t>
        </is>
      </c>
      <c r="D32" s="96" t="inlineStr">
        <is>
          <t>Ordem no fio: saída wire[k] = host[0,2,4,1,3,5] (todas as esquerdas, depois as direitas); entrada host = wire[1,3,0,2] (host 1/2 = par Y, 3/4 = par X). Código confirmado no asm; o mapa porta física ↔ slot conflita com o fwap.xml.</t>
        </is>
      </c>
      <c r="E32" s="96" t="inlineStr">
        <is>
          <t>Sim</t>
        </is>
      </c>
      <c r="F32" s="96" t="inlineStr">
        <is>
          <t>Não</t>
        </is>
      </c>
      <c r="G32" s="96" t="inlineStr">
        <is>
          <t>otool + Ghidra</t>
        </is>
      </c>
      <c r="H32" s="96" t="inlineStr">
        <is>
          <t>Parcial</t>
        </is>
      </c>
      <c r="I32" s="96" t="inlineStr">
        <is>
          <t>asm 0x28eff-0x28fa6 e 0x2c100-0x2c2af; Q-MD2-sample-path.md; audiophile-manual-reference §3.3; ffado fwap.xml (conflita)</t>
        </is>
      </c>
      <c r="J32" s="96">
        <f>IF(TRIM(I32)="",0,LEN(I32)-LEN(SUBSTITUTE(I32,";",""))+1)</f>
        <v/>
      </c>
      <c r="K32" s="96" t="inlineStr">
        <is>
          <t>Aberto / não resolvido</t>
        </is>
      </c>
      <c r="L32" s="97">
        <f>ROUND(IF(H32="Sim",MIN(Legenda!$C$12,MIN(10,IF(E32="Sim",Legenda!$C$4,IF(E32="Parcial",Legenda!$C$5,0))+IF(F32="Sim",Legenda!$C$6,IF(F32="Parcial",Legenda!$C$7,0))+IF(G32="otool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binário"),Legenda!$C$9,0))+MIN(Legenda!$C$11,MAX(0,J32-1)*Legenda!$C$10))),IF(H32="Parcial",MIN(Legenda!$C$13,MIN(10,IF(E32="Sim",Legenda!$C$4,IF(E32="Parcial",Legenda!$C$5,0))+IF(F32="Sim",Legenda!$C$6,IF(F32="Parcial",Legenda!$C$7,0))+IF(G32="otool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binário"),Legenda!$C$9,0))+MIN(Legenda!$C$11,MAX(0,J32-1)*Legenda!$C$10)))),1)</f>
        <v/>
      </c>
      <c r="M32" s="96" t="inlineStr">
        <is>
          <t>A1-ghidra/Q-AP0-converters.md</t>
        </is>
      </c>
      <c r="N32" s="96" t="inlineStr">
        <is>
          <t>—</t>
        </is>
      </c>
      <c r="O32" s="96" t="inlineStr">
        <is>
          <t>Fecha só no hardware (AP-7.3). [2026-10-19] Código confirmado (R80); falta o mapa físico: AP-7.3 ou EXTENDED PLUG INFO no rig SL (precisa do seu OK). [2026-10-19] EXTENDED PLUG INFO não alcançável no rig com o driver oficial (sem user client AV/C); FWAP.bcd não tem ClusterInfo. Plano: consultar pelo nosso driver no bring-up (AP-7.3) antes de qualquer teste de áudio (R92).</t>
        </is>
      </c>
      <c r="P32" s="96">
        <f>LEFT(A32,FIND(".",A32&amp;".")-1)</f>
        <v/>
      </c>
    </row>
    <row r="33" ht="22.35" customHeight="1" s="21">
      <c r="A33" s="95" t="inlineStr">
        <is>
          <t>AP-0.9.1</t>
        </is>
      </c>
      <c r="B33" s="96" t="inlineStr">
        <is>
          <t>AP-0.9</t>
        </is>
      </c>
      <c r="C33" s="96" t="inlineStr">
        <is>
          <t>Registro do Audiophile no SL v1.9</t>
        </is>
      </c>
      <c r="D33" s="96" t="inlineStr">
        <is>
          <t>FWEngine2 'FireWire Audiophile Multichannel'; saída 6 ch (Analog 1–4, S/PDIF 1–2), entrada 4 ch (Analog 1–2, S/PDIF 1–2); 24 em 32 bits; 44.1–96 kHz; buffer 8192; MABytesPerCycle 400; 1 porta MIDI de cada lado.</t>
        </is>
      </c>
      <c r="E33" s="96" t="inlineStr">
        <is>
          <t>Não</t>
        </is>
      </c>
      <c r="F33" s="96" t="inlineStr">
        <is>
          <t>Sim</t>
        </is>
      </c>
      <c r="G33" s="96" t="inlineStr">
        <is>
          <t>Nenhum</t>
        </is>
      </c>
      <c r="H33" s="96" t="inlineStr">
        <is>
          <t>Não</t>
        </is>
      </c>
      <c r="I33" s="96" t="inlineStr">
        <is>
          <t>captura 89; captura 89b</t>
        </is>
      </c>
      <c r="J33" s="96">
        <f>IF(TRIM(I33)="",0,LEN(I33)-LEN(SUBSTITUTE(I33,";",""))+1)</f>
        <v/>
      </c>
      <c r="K33" s="96" t="inlineStr">
        <is>
          <t>Consistente</t>
        </is>
      </c>
      <c r="L33" s="97">
        <f>ROUND(IF(H33="Sim",MIN(Legenda!$C$12,MIN(10,IF(E33="Sim",Legenda!$C$4,IF(E33="Parcial",Legenda!$C$5,0))+IF(F33="Sim",Legenda!$C$6,IF(F33="Parcial",Legenda!$C$7,0))+IF(G33="otool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binário"),Legenda!$C$9,0))+MIN(Legenda!$C$11,MAX(0,J33-1)*Legenda!$C$10))),IF(H33="Parcial",MIN(Legenda!$C$13,MIN(10,IF(E33="Sim",Legenda!$C$4,IF(E33="Parcial",Legenda!$C$5,0))+IF(F33="Sim",Legenda!$C$6,IF(F33="Parcial",Legenda!$C$7,0))+IF(G33="otool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binário"),Legenda!$C$9,0))+MIN(Legenda!$C$11,MAX(0,J33-1)*Legenda!$C$10)))),1)</f>
        <v/>
      </c>
      <c r="M33" s="96" t="inlineStr">
        <is>
          <t>captures/89-sl-audiophile-ioreg-device-subtree.txt</t>
        </is>
      </c>
      <c r="N33" s="96" t="inlineStr">
        <is>
          <t>—</t>
        </is>
      </c>
      <c r="O33" s="96" t="inlineStr">
        <is>
          <t>v1.9 (regra de version-skew).</t>
        </is>
      </c>
      <c r="P33" s="96">
        <f>LEFT(A33,FIND(".",A33&amp;".")-1)</f>
        <v/>
      </c>
    </row>
    <row r="34" ht="22.35" customHeight="1" s="21">
      <c r="A34" s="95" t="inlineStr">
        <is>
          <t>AP-0.9.2</t>
        </is>
      </c>
      <c r="B34" s="96" t="inlineStr">
        <is>
          <t>AP-0.9</t>
        </is>
      </c>
      <c r="C34" s="96" t="inlineStr">
        <is>
          <t>Latências no v1.9 vs v1.11.2</t>
        </is>
      </c>
      <c r="D34" s="96" t="inlineStr">
        <is>
          <t>v1.9: sem override de round-trip no Audiophile, latências de entrada/saída por duas funções separadas → 210/32/48 a 48 kHz. v1.11.2 (spec): round-trip 196 dividido → saída 98, entrada 98, offset 48.</t>
        </is>
      </c>
      <c r="E34" s="96" t="inlineStr">
        <is>
          <t>Sim</t>
        </is>
      </c>
      <c r="F34" s="96" t="inlineStr">
        <is>
          <t>Sim</t>
        </is>
      </c>
      <c r="G34" s="96" t="inlineStr">
        <is>
          <t>otool</t>
        </is>
      </c>
      <c r="H34" s="96" t="inlineStr">
        <is>
          <t>Não</t>
        </is>
      </c>
      <c r="I34" s="96" t="inlineStr">
        <is>
          <t>captura 89; v19.x64.asm (sem override de latência no Audiophile; ResetLatency @0x47dc usa vt[0xab8]/vt[0xac0]); v1.11.2 ResetLatency @0x3f7a (Q-MD §7); FWAudiophileDevice::GetRoundTripLatencyForFDF asm 0xafde</t>
        </is>
      </c>
      <c r="J34" s="96">
        <f>IF(TRIM(I34)="",0,LEN(I34)-LEN(SUBSTITUTE(I34,";",""))+1)</f>
        <v/>
      </c>
      <c r="K34" s="96" t="inlineStr">
        <is>
          <t>Consistente</t>
        </is>
      </c>
      <c r="L34" s="97">
        <f>ROUND(IF(H34="Sim",MIN(Legenda!$C$12,MIN(10,IF(E34="Sim",Legenda!$C$4,IF(E34="Parcial",Legenda!$C$5,0))+IF(F34="Sim",Legenda!$C$6,IF(F34="Parcial",Legenda!$C$7,0))+IF(G34="otool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binário"),Legenda!$C$9,0))+MIN(Legenda!$C$11,MAX(0,J34-1)*Legenda!$C$10))),IF(H34="Parcial",MIN(Legenda!$C$13,MIN(10,IF(E34="Sim",Legenda!$C$4,IF(E34="Parcial",Legenda!$C$5,0))+IF(F34="Sim",Legenda!$C$6,IF(F34="Parcial",Legenda!$C$7,0))+IF(G34="otool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binário"),Legenda!$C$9,0))+MIN(Legenda!$C$11,MAX(0,J34-1)*Legenda!$C$10)))),1)</f>
        <v/>
      </c>
      <c r="M34" s="96" t="inlineStr">
        <is>
          <t>captures/89…; Q10</t>
        </is>
      </c>
      <c r="N34" s="96" t="inlineStr">
        <is>
          <t>—</t>
        </is>
      </c>
      <c r="O34" s="96" t="inlineStr">
        <is>
          <t>Hipótese. Verificar: caminho ResetLatency no v1.11.2 + ioreg nas 4 taxas (AP-0.9 b). [2026-10-19] Fechado (R86): version skew; seguir o v1.11.2.</t>
        </is>
      </c>
      <c r="P34" s="96">
        <f>LEFT(A34,FIND(".",A34&amp;".")-1)</f>
        <v/>
      </c>
    </row>
    <row r="35" ht="22.35" customHeight="1" s="21">
      <c r="A35" s="95" t="inlineStr">
        <is>
          <t>AP-0.9.3</t>
        </is>
      </c>
      <c r="B35" s="96" t="inlineStr">
        <is>
          <t>AP-0.9</t>
        </is>
      </c>
      <c r="C35" s="96" t="inlineStr">
        <is>
          <t>Mixer sem streaming</t>
        </is>
      </c>
      <c r="D35" s="96" t="inlineStr">
        <is>
          <t>snd-bebob afirma que o Audiophile não mistura sem streaming ('cannot be used as standalone mixer').</t>
        </is>
      </c>
      <c r="E35" s="96" t="inlineStr">
        <is>
          <t>Não</t>
        </is>
      </c>
      <c r="F35" s="96" t="inlineStr">
        <is>
          <t>Não</t>
        </is>
      </c>
      <c r="G35" s="96" t="inlineStr">
        <is>
          <t>Nenhum</t>
        </is>
      </c>
      <c r="H35" s="96" t="inlineStr">
        <is>
          <t>Sim</t>
        </is>
      </c>
      <c r="I35" s="96" t="inlineStr">
        <is>
          <t>snd-bebob bebob_maudio.c:26-28</t>
        </is>
      </c>
      <c r="J35" s="96">
        <f>IF(TRIM(I35)="",0,LEN(I35)-LEN(SUBSTITUTE(I35,";",""))+1)</f>
        <v/>
      </c>
      <c r="K35" s="96" t="inlineStr">
        <is>
          <t>Aberto / não resolvido</t>
        </is>
      </c>
      <c r="L35" s="97">
        <f>ROUND(IF(H35="Sim",MIN(Legenda!$C$12,MIN(10,IF(E35="Sim",Legenda!$C$4,IF(E35="Parcial",Legenda!$C$5,0))+IF(F35="Sim",Legenda!$C$6,IF(F35="Parcial",Legenda!$C$7,0))+IF(G35="otool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binário"),Legenda!$C$9,0))+MIN(Legenda!$C$11,MAX(0,J35-1)*Legenda!$C$10))),IF(H35="Parcial",MIN(Legenda!$C$13,MIN(10,IF(E35="Sim",Legenda!$C$4,IF(E35="Parcial",Legenda!$C$5,0))+IF(F35="Sim",Legenda!$C$6,IF(F35="Parcial",Legenda!$C$7,0))+IF(G35="otool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binário"),Legenda!$C$9,0))+MIN(Legenda!$C$11,MAX(0,J35-1)*Legenda!$C$10)))),1)</f>
        <v/>
      </c>
      <c r="M35" s="96" t="inlineStr">
        <is>
          <t>BUILD_AUDIOPHILE_PLAN_v2 §2</t>
        </is>
      </c>
      <c r="N35" s="96" t="inlineStr">
        <is>
          <t>—</t>
        </is>
      </c>
      <c r="O35" s="96" t="inlineStr">
        <is>
          <t>Fonte só de terceiros; verificar de ouvido no rig (AP-0.9 f). [2026-10-19] Teste de ouvido cancelado pelo usuário (2026-10-19); fica para o AP-7.6 no hardware com o nosso driver.</t>
        </is>
      </c>
      <c r="P35" s="96">
        <f>LEFT(A35,FIND(".",A35&amp;".")-1)</f>
        <v/>
      </c>
    </row>
    <row r="36" ht="32.8" customHeight="1" s="21">
      <c r="A36" s="95" t="inlineStr">
        <is>
          <t>AP-0.4.6</t>
        </is>
      </c>
      <c r="B36" s="96" t="inlineStr">
        <is>
          <t>AP-0.4</t>
        </is>
      </c>
      <c r="C36" s="96" t="inlineStr">
        <is>
          <t>Chave A/B (FWSettingsABSwitch)</t>
        </is>
      </c>
      <c r="D36" s="96" t="inlineStr">
        <is>
          <t>Botão alterna estado A(0)/B(1). Se MAMomentarySwitchSource = 0: fonte dos fones = MAMomentarySwitchRoutings[estado]; senão (Direct Monitoring): estado A limpa / B liga o bit 0 de MAInputRoutingV2[0] e os bits 0x12 de [1], republica e notifica o painel. Fábrica: A, rotas [1,2,3,4], fonte de fones 1.</t>
        </is>
      </c>
      <c r="E36" s="96" t="inlineStr">
        <is>
          <t>Parcial</t>
        </is>
      </c>
      <c r="F36" s="96" t="inlineStr">
        <is>
          <t>Não</t>
        </is>
      </c>
      <c r="G36" s="96" t="inlineStr">
        <is>
          <t>Ghidra</t>
        </is>
      </c>
      <c r="H36" s="96" t="inlineStr">
        <is>
          <t>Não</t>
        </is>
      </c>
      <c r="I36" s="96" t="inlineStr">
        <is>
          <t>FWSettingsABSwitch::{Init,MomentarySwitchPressed,SendMixerSettingsForCurrentMomentaryMode,SetMomentarySwitchRoutingSource,UpdateLEDs,ResetToFactorySettings} (Ghidra 2026-10-19)</t>
        </is>
      </c>
      <c r="J36" s="96">
        <f>IF(TRIM(I36)="",0,LEN(I36)-LEN(SUBSTITUTE(I36,";",""))+1)</f>
        <v/>
      </c>
      <c r="K36" s="96" t="inlineStr">
        <is>
          <t>Consistente</t>
        </is>
      </c>
      <c r="L36" s="97">
        <f>ROUND(IF(H36="Sim",MIN(Legenda!$C$12,MIN(10,IF(E36="Sim",Legenda!$C$4,IF(E36="Parcial",Legenda!$C$5,0))+IF(F36="Sim",Legenda!$C$6,IF(F36="Parcial",Legenda!$C$7,0))+IF(G36="otool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binário"),Legenda!$C$9,0))+MIN(Legenda!$C$11,MAX(0,J36-1)*Legenda!$C$10))),IF(H36="Parcial",MIN(Legenda!$C$13,MIN(10,IF(E36="Sim",Legenda!$C$4,IF(E36="Parcial",Legenda!$C$5,0))+IF(F36="Sim",Legenda!$C$6,IF(F36="Parcial",Legenda!$C$7,0))+IF(G36="otool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binário"),Legenda!$C$9,0))+MIN(Legenda!$C$11,MAX(0,J36-1)*Legenda!$C$10)))),1)</f>
        <v/>
      </c>
      <c r="M36" s="96" t="inlineStr">
        <is>
          <t>A1-ghidra/Q-AP0-status-packet-front-panel.md §4</t>
        </is>
      </c>
      <c r="N36" s="96" t="inlineStr">
        <is>
          <t>—</t>
        </is>
      </c>
      <c r="O36" s="96" t="inlineStr">
        <is>
          <t>[2026-10-19] Chaves: MAMomentarySwitchRoutings, MAHeadphoneSourceV2, MAHeadphoneSecondSource, MAMomentarySwitchSource, MAMomentarySwitchLatent (só leitura).</t>
        </is>
      </c>
      <c r="P36" s="96">
        <f>LEFT(A36,FIND(".",A36&amp;".")-1)</f>
        <v/>
      </c>
    </row>
    <row r="37" ht="22.35" customHeight="1" s="21">
      <c r="A37" s="95" t="inlineStr">
        <is>
          <t>AP-0.4.7</t>
        </is>
      </c>
      <c r="B37" s="96" t="inlineStr">
        <is>
          <t>AP-0.4</t>
        </is>
      </c>
      <c r="C37" s="96" t="inlineStr">
        <is>
          <t>Level Controller (FWSettingsRotaryControl)</t>
        </is>
      </c>
      <c r="D37" s="96" t="inlineStr">
        <is>
          <t>Máscara de 64 bits MARotaryControlV2 escolhe os pares movidos pelo encoder 1: base 0 MASWReturnLevels, 0x10 MAInputLevels, 0x20 MAOutputLevels, 0x32 MAAuxOutputLevels, 0x38 MAHeadphoneLevels. Fábrica 0xFFFF00000000 = todos os pares de saída. MAMetaVirtualRotateDataKnob gira o knob pelo painel.</t>
        </is>
      </c>
      <c r="E37" s="96" t="inlineStr">
        <is>
          <t>Sim</t>
        </is>
      </c>
      <c r="F37" s="96" t="inlineStr">
        <is>
          <t>Não</t>
        </is>
      </c>
      <c r="G37" s="96" t="inlineStr">
        <is>
          <t>otool + Ghidra</t>
        </is>
      </c>
      <c r="H37" s="96" t="inlineStr">
        <is>
          <t>Não</t>
        </is>
      </c>
      <c r="I37" s="96" t="inlineStr">
        <is>
          <t>Ghidra FWSettingsRotaryControl::*; asm AdjustOSNumberElement 0x21148-0x211fe; Ghidra FW64BitNumberProp::CallSetter, FWAudioDevice::NullSetProperty64; manual</t>
        </is>
      </c>
      <c r="J37" s="96">
        <f>IF(TRIM(I37)="",0,LEN(I37)-LEN(SUBSTITUTE(I37,";",""))+1)</f>
        <v/>
      </c>
      <c r="K37" s="96" t="inlineStr">
        <is>
          <t>Consistente</t>
        </is>
      </c>
      <c r="L37" s="97">
        <f>ROUND(IF(H37="Sim",MIN(Legenda!$C$12,MIN(10,IF(E37="Sim",Legenda!$C$4,IF(E37="Parcial",Legenda!$C$5,0))+IF(F37="Sim",Legenda!$C$6,IF(F37="Parcial",Legenda!$C$7,0))+IF(G37="otool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binário"),Legenda!$C$9,0))+MIN(Legenda!$C$11,MAX(0,J37-1)*Legenda!$C$10))),IF(H37="Parcial",MIN(Legenda!$C$13,MIN(10,IF(E37="Sim",Legenda!$C$4,IF(E37="Parcial",Legenda!$C$5,0))+IF(F37="Sim",Legenda!$C$6,IF(F37="Parcial",Legenda!$C$7,0))+IF(G37="otool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binário"),Legenda!$C$9,0))+MIN(Legenda!$C$11,MAX(0,J37-1)*Legenda!$C$10)))),1)</f>
        <v/>
      </c>
      <c r="M37" s="96" t="inlineStr">
        <is>
          <t>A1-ghidra/Q-AP0-status-packet-front-panel.md §3</t>
        </is>
      </c>
      <c r="N37" s="96" t="inlineStr">
        <is>
          <t>—</t>
        </is>
      </c>
      <c r="O37" s="96" t="inlineStr">
        <is>
          <t>[2026-10-19] Aberto: unidade do passo (AdjustOSNumberElement), caminho até o dispositivo (AP-0.3) e como o painel grava MARotaryControlV2 (setter NullSetProperty64). [2026-10-19] Fechado (R87): passo ±½ dB perto do topo (&gt; −6.5 dB), ±6 dB abaixo; faixa −64..0 dB; MARotaryControlV2 só armazena (setter nulo).</t>
        </is>
      </c>
      <c r="P37" s="96">
        <f>LEFT(A37,FIND(".",A37&amp;".")-1)</f>
        <v/>
      </c>
    </row>
    <row r="38" ht="22.35" customHeight="1" s="21">
      <c r="A38" s="95" t="inlineStr">
        <is>
          <t>AP-0.4.8</t>
        </is>
      </c>
      <c r="B38" s="96" t="inlineStr">
        <is>
          <t>AP-0.4</t>
        </is>
      </c>
      <c r="C38" s="96" t="inlineStr">
        <is>
          <t>MAMomentarySwitchRoutings: 3 vs 4 elementos</t>
        </is>
      </c>
      <c r="D38" s="96" t="inlineStr">
        <is>
          <t>Captura 90 (v1.9) grava 3 elementos [1,4,1]; o v1.11.2 declara um array de 4 (fábrica [1,2,3,4]).</t>
        </is>
      </c>
      <c r="E38" s="96" t="inlineStr">
        <is>
          <t>Parcial</t>
        </is>
      </c>
      <c r="F38" s="96" t="inlineStr">
        <is>
          <t>Sim</t>
        </is>
      </c>
      <c r="G38" s="96" t="inlineStr">
        <is>
          <t>Ghidra</t>
        </is>
      </c>
      <c r="H38" s="96" t="inlineStr">
        <is>
          <t>Não</t>
        </is>
      </c>
      <c r="I38" s="96" t="inlineStr">
        <is>
          <t>captura 90; FWSettingsABSwitch::Init/ResetToFactorySettings (Ghidra)</t>
        </is>
      </c>
      <c r="J38" s="96">
        <f>IF(TRIM(I38)="",0,LEN(I38)-LEN(SUBSTITUTE(I38,";",""))+1)</f>
        <v/>
      </c>
      <c r="K38" s="96" t="inlineStr">
        <is>
          <t>Consistente</t>
        </is>
      </c>
      <c r="L38" s="97">
        <f>ROUND(IF(H38="Sim",MIN(Legenda!$C$12,MIN(10,IF(E38="Sim",Legenda!$C$4,IF(E38="Parcial",Legenda!$C$5,0))+IF(F38="Sim",Legenda!$C$6,IF(F38="Parcial",Legenda!$C$7,0))+IF(G38="otool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binário"),Legenda!$C$9,0))+MIN(Legenda!$C$11,MAX(0,J38-1)*Legenda!$C$10))),IF(H38="Parcial",MIN(Legenda!$C$13,MIN(10,IF(E38="Sim",Legenda!$C$4,IF(E38="Parcial",Legenda!$C$5,0))+IF(F38="Sim",Legenda!$C$6,IF(F38="Parcial",Legenda!$C$7,0))+IF(G38="otool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binário"),Legenda!$C$9,0))+MIN(Legenda!$C$11,MAX(0,J38-1)*Legenda!$C$10)))),1)</f>
        <v/>
      </c>
      <c r="M38" s="96" t="inlineStr">
        <is>
          <t>A1-ghidra/Q-AP0-status-packet-front-panel.md §4</t>
        </is>
      </c>
      <c r="N38" s="96" t="inlineStr">
        <is>
          <t>—</t>
        </is>
      </c>
      <c r="O38" s="96" t="inlineStr">
        <is>
          <t>[2026-10-19] Version skew ou codificação do painel; ver AP-0.6 e AP-0.9. [2026-10-19] Fechado (R82): o painel grava 3 máscaras (cookie 0x609, P13); não é version skew.</t>
        </is>
      </c>
      <c r="P38" s="96">
        <f>LEFT(A38,FIND(".",A38&amp;".")-1)</f>
        <v/>
      </c>
    </row>
    <row r="39" ht="22.35" customHeight="1" s="21">
      <c r="A39" s="95" t="inlineStr">
        <is>
          <t>AP-0.3.3</t>
        </is>
      </c>
      <c r="B39" s="96" t="inlineStr">
        <is>
          <t>AP-0.3</t>
        </is>
      </c>
      <c r="C39" s="96" t="inlineStr">
        <is>
          <t>Tabela de roteamento (15 entradas)</t>
        </is>
      </c>
      <c r="D39" s="96" t="inlineStr">
        <is>
          <t>Rota {tipo origem, par origem, mixer destino} → {fb mixer 1/2/3, plug}: retornos SW 1/2, 3/4, 5/6 → plugs 0/1/2; entrada analógica → 3; S/PDIF → 4. SetAVCRouting manda um par de conexões por mixer conforme o bit da máscara.</t>
        </is>
      </c>
      <c r="E39" s="96" t="inlineStr">
        <is>
          <t>Sim</t>
        </is>
      </c>
      <c r="F39" s="96" t="inlineStr">
        <is>
          <t>Parcial</t>
        </is>
      </c>
      <c r="G39" s="96" t="inlineStr">
        <is>
          <t>otool + Ghidra</t>
        </is>
      </c>
      <c r="H39" s="96" t="inlineStr">
        <is>
          <t>Não</t>
        </is>
      </c>
      <c r="I39" s="96" t="inlineStr">
        <is>
          <t>bytes _kRouteTable.36633 @0x2f7a0; Ghidra MapRoutingParameters @0xba50, FetchRoutingEntry, SetAVCRouting; ctl-services normal.rs:609-622; captura 90 (MASWReturnRoutingV2 [3,2,4], MAInputRoutingV2 [1,0])</t>
        </is>
      </c>
      <c r="J39" s="96">
        <f>IF(TRIM(I39)="",0,LEN(I39)-LEN(SUBSTITUTE(I39,";",""))+1)</f>
        <v/>
      </c>
      <c r="K39" s="96" t="inlineStr">
        <is>
          <t>Consistente</t>
        </is>
      </c>
      <c r="L39" s="97">
        <f>ROUND(IF(H39="Sim",MIN(Legenda!$C$12,MIN(10,IF(E39="Sim",Legenda!$C$4,IF(E39="Parcial",Legenda!$C$5,0))+IF(F39="Sim",Legenda!$C$6,IF(F39="Parcial",Legenda!$C$7,0))+IF(G39="otool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binário"),Legenda!$C$9,0))+MIN(Legenda!$C$11,MAX(0,J39-1)*Legenda!$C$10))),IF(H39="Parcial",MIN(Legenda!$C$13,MIN(10,IF(E39="Sim",Legenda!$C$4,IF(E39="Parcial",Legenda!$C$5,0))+IF(F39="Sim",Legenda!$C$6,IF(F39="Parcial",Legenda!$C$7,0))+IF(G39="otool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binário"),Legenda!$C$9,0))+MIN(Legenda!$C$11,MAX(0,J39-1)*Legenda!$C$10)))),1)</f>
        <v/>
      </c>
      <c r="M39" s="96" t="inlineStr">
        <is>
          <t>A1-ghidra/Q-AP0-avc-mixer.md §3</t>
        </is>
      </c>
      <c r="N39" s="96" t="inlineStr">
        <is>
          <t>—</t>
        </is>
      </c>
      <c r="O39" s="96" t="inlineStr">
        <is>
          <t>[2026-10-19] Idêntico ao ctl-services.</t>
        </is>
      </c>
      <c r="P39" s="96">
        <f>LEFT(A39,FIND(".",A39&amp;".")-1)</f>
        <v/>
      </c>
    </row>
    <row r="40" ht="22.35" customHeight="1" s="21">
      <c r="A40" s="95" t="inlineStr">
        <is>
          <t>AP-0.3.4</t>
        </is>
      </c>
      <c r="B40" s="96" t="inlineStr">
        <is>
          <t>AP-0.3</t>
        </is>
      </c>
      <c r="C40" s="96" t="inlineStr">
        <is>
          <t>Chaves MA* do v1.11.2 e quem as envia</t>
        </is>
      </c>
      <c r="D40" s="96" t="inlineStr">
        <is>
          <t>Levels: MA{SWReturn,Output,Input}{Levels,Mute,Solo,Link}, MAHeadphone{Levels,Mute,Link}, MAInputPan2, MAInputRoutingV2, MASWReturnRoutingV2, MADirectMonitoringActive, MAGlobalMute, MAGlobalDim; AuxSend: MAAuxSendLevels, MAAuxOutput{Levels,Mute,Link}, MAAuxOutputPan2, MAMonitorAuxOnOutput; ABSwitch e Rotary (AP-0.4); MAClockSource, MAFirmwareInfo. Grupos: saídas 6, entradas 4, SW 6, fones 2, envios aux 10, aux out 2.</t>
        </is>
      </c>
      <c r="E40" s="96" t="inlineStr">
        <is>
          <t>Parcial</t>
        </is>
      </c>
      <c r="F40" s="96" t="inlineStr">
        <is>
          <t>Parcial</t>
        </is>
      </c>
      <c r="G40" s="96" t="inlineStr">
        <is>
          <t>Ghidra</t>
        </is>
      </c>
      <c r="H40" s="96" t="inlineStr">
        <is>
          <t>Não</t>
        </is>
      </c>
      <c r="I40" s="96" t="inlineStr">
        <is>
          <t>Ghidra FWSettingsLevels::Init/InitGroupProp, FWSettingsAuxSend::Init, FWAudiophileDevice::InitializeUserSettableProperties/$_667; strings 0x2f010/0x2f1ce/0x2f1de/0x2f27e/0x2f292; captura 90 (14 chaves usadas pelo painel v1.9)</t>
        </is>
      </c>
      <c r="J40" s="96">
        <f>IF(TRIM(I40)="",0,LEN(I40)-LEN(SUBSTITUTE(I40,";",""))+1)</f>
        <v/>
      </c>
      <c r="K40" s="96" t="inlineStr">
        <is>
          <t>Consistente</t>
        </is>
      </c>
      <c r="L40" s="97">
        <f>ROUND(IF(H40="Sim",MIN(Legenda!$C$12,MIN(10,IF(E40="Sim",Legenda!$C$4,IF(E40="Parcial",Legenda!$C$5,0))+IF(F40="Sim",Legenda!$C$6,IF(F40="Parcial",Legenda!$C$7,0))+IF(G40="otool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binário"),Legenda!$C$9,0))+MIN(Legenda!$C$11,MAX(0,J40-1)*Legenda!$C$10))),IF(H40="Parcial",MIN(Legenda!$C$13,MIN(10,IF(E40="Sim",Legenda!$C$4,IF(E40="Parcial",Legenda!$C$5,0))+IF(F40="Sim",Legenda!$C$6,IF(F40="Parcial",Legenda!$C$7,0))+IF(G40="otool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binário"),Legenda!$C$9,0))+MIN(Legenda!$C$11,MAX(0,J40-1)*Legenda!$C$10)))),1)</f>
        <v/>
      </c>
      <c r="M40" s="96" t="inlineStr">
        <is>
          <t>A1-ghidra/Q-AP0-avc-mixer.md §4</t>
        </is>
      </c>
      <c r="N40" s="96" t="inlineStr">
        <is>
          <t>—</t>
        </is>
      </c>
      <c r="O40" s="96" t="inlineStr">
        <is>
          <t>[2026-10-19] Base para o PNAP-control-key-map (AP-0.6).</t>
        </is>
      </c>
      <c r="P40" s="96">
        <f>LEFT(A40,FIND(".",A40&amp;".")-1)</f>
        <v/>
      </c>
    </row>
    <row r="41" ht="22.35" customHeight="1" s="21">
      <c r="A41" s="95" t="inlineStr">
        <is>
          <t>AP-0.3.5</t>
        </is>
      </c>
      <c r="B41" s="96" t="inlineStr">
        <is>
          <t>AP-0.3</t>
        </is>
      </c>
      <c r="C41" s="96" t="inlineStr">
        <is>
          <t>Estado de fábrica do mixer</t>
        </is>
      </c>
      <c r="D41" s="96" t="inlineStr">
        <is>
          <t>Níveis 0 dB, balanço 0, mute/solo/link desligados; entradas sem rota; pans L/R; SW n → mixer n; envios aux −127.5 dB; saídas no mixer; DirectMonitoringActive = 1.</t>
        </is>
      </c>
      <c r="E41" s="96" t="inlineStr">
        <is>
          <t>Sim</t>
        </is>
      </c>
      <c r="F41" s="96" t="inlineStr">
        <is>
          <t>Sim</t>
        </is>
      </c>
      <c r="G41" s="96" t="inlineStr">
        <is>
          <t>otool + Ghidra</t>
        </is>
      </c>
      <c r="H41" s="96" t="inlineStr">
        <is>
          <t>Não</t>
        </is>
      </c>
      <c r="I41" s="96" t="inlineStr">
        <is>
          <t>asm 0x215b0-0x2168b; Ghidra ResetToFactorySettings; captura 92 (reset no rig: saídas e fones 0 dB, rotas e pans iguais ao decode)</t>
        </is>
      </c>
      <c r="J41" s="96">
        <f>IF(TRIM(I41)="",0,LEN(I41)-LEN(SUBSTITUTE(I41,";",""))+1)</f>
        <v/>
      </c>
      <c r="K41" s="96" t="inlineStr">
        <is>
          <t>Consistente</t>
        </is>
      </c>
      <c r="L41" s="97">
        <f>ROUND(IF(H41="Sim",MIN(Legenda!$C$12,MIN(10,IF(E41="Sim",Legenda!$C$4,IF(E41="Parcial",Legenda!$C$5,0))+IF(F41="Sim",Legenda!$C$6,IF(F41="Parcial",Legenda!$C$7,0))+IF(G41="otool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binário"),Legenda!$C$9,0))+MIN(Legenda!$C$11,MAX(0,J41-1)*Legenda!$C$10))),IF(H41="Parcial",MIN(Legenda!$C$13,MIN(10,IF(E41="Sim",Legenda!$C$4,IF(E41="Parcial",Legenda!$C$5,0))+IF(F41="Sim",Legenda!$C$6,IF(F41="Parcial",Legenda!$C$7,0))+IF(G41="otool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binário"),Legenda!$C$9,0))+MIN(Legenda!$C$11,MAX(0,J41-1)*Legenda!$C$10)))),1)</f>
        <v/>
      </c>
      <c r="M41" s="96" t="inlineStr">
        <is>
          <t>A1-ghidra/Q-AP0-avc-mixer.md §5</t>
        </is>
      </c>
      <c r="N41" s="96" t="inlineStr">
        <is>
          <t>—</t>
        </is>
      </c>
      <c r="O41" s="96" t="inlineStr">
        <is>
          <t>[2026-10-19] Manual p.55 diz saídas −6 dB; o kext põe 0 dB. Ver painel (AP-0.6) e rig (AP-0.9 c). [2026-10-19] Fechado (R91): o driver põe 0 dB; o −6 dB do manual não é aplicado.</t>
        </is>
      </c>
      <c r="P41" s="96">
        <f>LEFT(A41,FIND(".",A41&amp;".")-1)</f>
        <v/>
      </c>
    </row>
    <row r="42" ht="15" customHeight="1" s="21">
      <c r="A42" s="95" t="inlineStr">
        <is>
          <t>AP-0.3.6</t>
        </is>
      </c>
      <c r="B42" s="96" t="inlineStr">
        <is>
          <t>AP-0.3</t>
        </is>
      </c>
      <c r="C42" s="96" t="inlineStr">
        <is>
          <t>Blocos de nível dos retornos SW (1/2/3)</t>
        </is>
      </c>
      <c r="D42" s="96" t="inlineStr">
        <is>
          <t>O kext manda o nível dos retornos SW para feature blocks 0x01/0x02/0x03 (kind 3); ctl-services e FFADO não têm esses blocos para o Audiophile.</t>
        </is>
      </c>
      <c r="E42" s="96" t="inlineStr">
        <is>
          <t>Parcial</t>
        </is>
      </c>
      <c r="F42" s="96" t="inlineStr">
        <is>
          <t>Não</t>
        </is>
      </c>
      <c r="G42" s="96" t="inlineStr">
        <is>
          <t>Ghidra</t>
        </is>
      </c>
      <c r="H42" s="96" t="inlineStr">
        <is>
          <t>Parcial</t>
        </is>
      </c>
      <c r="I42" s="96" t="inlineStr">
        <is>
          <t>Ghidra SetSWReturnLevel + MapChannelAndFunctionBlock kind 3; ausente em ctl-services normal.rs</t>
        </is>
      </c>
      <c r="J42" s="96">
        <f>IF(TRIM(I42)="",0,LEN(I42)-LEN(SUBSTITUTE(I42,";",""))+1)</f>
        <v/>
      </c>
      <c r="K42" s="96" t="inlineStr">
        <is>
          <t>Aberto / não resolvido</t>
        </is>
      </c>
      <c r="L42" s="97">
        <f>ROUND(IF(H42="Sim",MIN(Legenda!$C$12,MIN(10,IF(E42="Sim",Legenda!$C$4,IF(E42="Parcial",Legenda!$C$5,0))+IF(F42="Sim",Legenda!$C$6,IF(F42="Parcial",Legenda!$C$7,0))+IF(G42="otool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binário"),Legenda!$C$9,0))+MIN(Legenda!$C$11,MAX(0,J42-1)*Legenda!$C$10))),IF(H42="Parcial",MIN(Legenda!$C$13,MIN(10,IF(E42="Sim",Legenda!$C$4,IF(E42="Parcial",Legenda!$C$5,0))+IF(F42="Sim",Legenda!$C$6,IF(F42="Parcial",Legenda!$C$7,0))+IF(G42="otool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binário"),Legenda!$C$9,0))+MIN(Legenda!$C$11,MAX(0,J42-1)*Legenda!$C$10)))),1)</f>
        <v/>
      </c>
      <c r="M42" s="96" t="inlineStr">
        <is>
          <t>A1-ghidra/Q-AP0-avc-mixer.md §2, §7</t>
        </is>
      </c>
      <c r="N42" s="96" t="inlineStr">
        <is>
          <t>—</t>
        </is>
      </c>
      <c r="O42" s="96" t="inlineStr">
        <is>
          <t>[2026-10-19] O kext é a referência; confirmar no hardware (AP-7.6) ou de ouvido no rig SL (AP-0.9).</t>
        </is>
      </c>
      <c r="P42" s="96">
        <f>LEFT(A42,FIND(".",A42&amp;".")-1)</f>
        <v/>
      </c>
    </row>
    <row r="43" ht="22.35" customHeight="1" s="21">
      <c r="A43" s="95" t="inlineStr">
        <is>
          <t>AP-0.3.7</t>
        </is>
      </c>
      <c r="B43" s="96" t="inlineStr">
        <is>
          <t>AP-0.3</t>
        </is>
      </c>
      <c r="C43" s="96" t="inlineStr">
        <is>
          <t>Reenvio do estado (ResendCurrentMixerSettings)</t>
        </is>
      </c>
      <c r="D43" s="96" t="inlineStr">
        <is>
          <t>Reenvio: HasSoftwareControls()=1; primeiro o setter de MAClockSource com o valor atual (reaplica o clock), depois ABSwitch (só normaliza) → Rotary → AuxSend → Levels. A fonte dos fones não é reenviada por nenhum SendToDevice.</t>
        </is>
      </c>
      <c r="E43" s="96" t="inlineStr">
        <is>
          <t>Sim</t>
        </is>
      </c>
      <c r="F43" s="96" t="inlineStr">
        <is>
          <t>Não</t>
        </is>
      </c>
      <c r="G43" s="96" t="inlineStr">
        <is>
          <t>otool + Ghidra</t>
        </is>
      </c>
      <c r="H43" s="96" t="inlineStr">
        <is>
          <t>Não</t>
        </is>
      </c>
      <c r="I43" s="96" t="inlineStr">
        <is>
          <t>Ghidra ResendCurrentMixerSettings (Audiophile @0xb00e e base); vtable slot 0xac8 = HasSoftwareControls @0xa992 (retorna 1); FW32BitNumberProp::CallSetter (valor +0x2c, setter +0x38)</t>
        </is>
      </c>
      <c r="J43" s="96">
        <f>IF(TRIM(I43)="",0,LEN(I43)-LEN(SUBSTITUTE(I43,";",""))+1)</f>
        <v/>
      </c>
      <c r="K43" s="96" t="inlineStr">
        <is>
          <t>Consistente</t>
        </is>
      </c>
      <c r="L43" s="97">
        <f>ROUND(IF(H43="Sim",MIN(Legenda!$C$12,MIN(10,IF(E43="Sim",Legenda!$C$4,IF(E43="Parcial",Legenda!$C$5,0))+IF(F43="Sim",Legenda!$C$6,IF(F43="Parcial",Legenda!$C$7,0))+IF(G43="otool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binário"),Legenda!$C$9,0))+MIN(Legenda!$C$11,MAX(0,J43-1)*Legenda!$C$10))),IF(H43="Parcial",MIN(Legenda!$C$13,MIN(10,IF(E43="Sim",Legenda!$C$4,IF(E43="Parcial",Legenda!$C$5,0))+IF(F43="Sim",Legenda!$C$6,IF(F43="Parcial",Legenda!$C$7,0))+IF(G43="otool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binário"),Legenda!$C$9,0))+MIN(Legenda!$C$11,MAX(0,J43-1)*Legenda!$C$10)))),1)</f>
        <v/>
      </c>
      <c r="M43" s="96" t="inlineStr">
        <is>
          <t>A1-ghidra/Q-AP0-avc-mixer.md §5</t>
        </is>
      </c>
      <c r="N43" s="96" t="inlineStr">
        <is>
          <t>—</t>
        </is>
      </c>
      <c r="O43" s="96" t="inlineStr">
        <is>
          <t>[2026-10-19] Ler vt[0xac8] e o functor [+0x150] do Audiophile. [2026-10-19] Functor resolvido (R81). Aberto só: quem manda o seletor de fones na partida. [2026-10-19] Fechado (R84): a fonte dos fones só vai ao dispositivo quando MAHeadphoneSourceV2 é escrita ou o botão A/B é apertado; espelhar assim.</t>
        </is>
      </c>
      <c r="P43" s="96">
        <f>LEFT(A43,FIND(".",A43&amp;".")-1)</f>
        <v/>
      </c>
    </row>
    <row r="44" ht="22.35" customHeight="1" s="21">
      <c r="A44" s="95" t="inlineStr">
        <is>
          <t>AP-0.3.8</t>
        </is>
      </c>
      <c r="B44" s="96" t="inlineStr">
        <is>
          <t>AP-0.3</t>
        </is>
      </c>
      <c r="C44" s="96" t="inlineStr">
        <is>
          <t>Bits 0x12 do Direct Monitoring</t>
        </is>
      </c>
      <c r="D44" s="96" t="inlineStr">
        <is>
          <t>O modo DM da chave A/B mexe nos bits 0x12 de MAInputRoutingV2[1]; o Audiophile tem 3 mixers (bits 0–2), o bit 4 sobra.</t>
        </is>
      </c>
      <c r="E44" s="96" t="inlineStr">
        <is>
          <t>Parcial</t>
        </is>
      </c>
      <c r="F44" s="96" t="inlineStr">
        <is>
          <t>Não</t>
        </is>
      </c>
      <c r="G44" s="96" t="inlineStr">
        <is>
          <t>Ghidra</t>
        </is>
      </c>
      <c r="H44" s="96" t="inlineStr">
        <is>
          <t>Não</t>
        </is>
      </c>
      <c r="I44" s="96" t="inlineStr">
        <is>
          <t>Ghidra FWSettingsABSwitch::SendMixerSettingsForCurrentMomentaryMode</t>
        </is>
      </c>
      <c r="J44" s="96">
        <f>IF(TRIM(I44)="",0,LEN(I44)-LEN(SUBSTITUTE(I44,";",""))+1)</f>
        <v/>
      </c>
      <c r="K44" s="96" t="inlineStr">
        <is>
          <t>Consistente</t>
        </is>
      </c>
      <c r="L44" s="97">
        <f>ROUND(IF(H44="Sim",MIN(Legenda!$C$12,MIN(10,IF(E44="Sim",Legenda!$C$4,IF(E44="Parcial",Legenda!$C$5,0))+IF(F44="Sim",Legenda!$C$6,IF(F44="Parcial",Legenda!$C$7,0))+IF(G44="otool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binário"),Legenda!$C$9,0))+MIN(Legenda!$C$11,MAX(0,J44-1)*Legenda!$C$10))),IF(H44="Parcial",MIN(Legenda!$C$13,MIN(10,IF(E44="Sim",Legenda!$C$4,IF(E44="Parcial",Legenda!$C$5,0))+IF(F44="Sim",Legenda!$C$6,IF(F44="Parcial",Legenda!$C$7,0))+IF(G44="otool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binário"),Legenda!$C$9,0))+MIN(Legenda!$C$11,MAX(0,J44-1)*Legenda!$C$10)))),1)</f>
        <v/>
      </c>
      <c r="M44" s="96" t="inlineStr">
        <is>
          <t>A1-ghidra/Q-AP0-avc-mixer.md §7</t>
        </is>
      </c>
      <c r="N44" s="96" t="inlineStr">
        <is>
          <t>—</t>
        </is>
      </c>
      <c r="O44" s="96" t="inlineStr">
        <is>
          <t>[2026-10-19] Código genérico de outros modelos? Ver chamadores e o FW410. [2026-10-19] Fechado (R84): SetAVCRouting só percorre 3 mixers; o bit 4 nunca é enviado.</t>
        </is>
      </c>
      <c r="P44" s="96">
        <f>LEFT(A44,FIND(".",A44&amp;".")-1)</f>
        <v/>
      </c>
    </row>
    <row r="45" ht="32.8" customHeight="1" s="21">
      <c r="A45" s="95" t="inlineStr">
        <is>
          <t>AP-0.7.4</t>
        </is>
      </c>
      <c r="B45" s="96" t="inlineStr">
        <is>
          <t>AP-0.7</t>
        </is>
      </c>
      <c r="C45" s="96" t="inlineStr">
        <is>
          <t>Conversores e proc de pico</t>
        </is>
      </c>
      <c r="D45" s="96" t="inlineStr">
        <is>
          <t>_ConvertLLRR4SkipMIDI1: 5 quadlets/quadro, MIDI no slot 4 pulado, 24 bits com sinal. _RearrangeSampleFrameLLRR6: clamp ±2^23, rótulo 0x40 + 24 bits BE, 7 quadlets/quadro, slot 6 (MIDI) intocado. _SamplePeaks6: a cada 8 quadros, máximo de |s&gt;&gt;8| (16 bits) por canal.</t>
        </is>
      </c>
      <c r="E45" s="96" t="inlineStr">
        <is>
          <t>Sim</t>
        </is>
      </c>
      <c r="F45" s="96" t="inlineStr">
        <is>
          <t>Não</t>
        </is>
      </c>
      <c r="G45" s="96" t="inlineStr">
        <is>
          <t>otool + Ghidra</t>
        </is>
      </c>
      <c r="H45" s="96" t="inlineStr">
        <is>
          <t>Não</t>
        </is>
      </c>
      <c r="I45" s="96" t="inlineStr">
        <is>
          <t>asm 0x28eff-0x28fa6; asm 0x2c100-0x2c2af; Ghidra _SamplePeaks6 @0x27e17</t>
        </is>
      </c>
      <c r="J45" s="96">
        <f>IF(TRIM(I45)="",0,LEN(I45)-LEN(SUBSTITUTE(I45,";",""))+1)</f>
        <v/>
      </c>
      <c r="K45" s="96" t="inlineStr">
        <is>
          <t>Consistente</t>
        </is>
      </c>
      <c r="L45" s="97">
        <f>ROUND(IF(H45="Sim",MIN(Legenda!$C$12,MIN(10,IF(E45="Sim",Legenda!$C$4,IF(E45="Parcial",Legenda!$C$5,0))+IF(F45="Sim",Legenda!$C$6,IF(F45="Parcial",Legenda!$C$7,0))+IF(G45="otool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binário"),Legenda!$C$9,0))+MIN(Legenda!$C$11,MAX(0,J45-1)*Legenda!$C$10))),IF(H45="Parcial",MIN(Legenda!$C$13,MIN(10,IF(E45="Sim",Legenda!$C$4,IF(E45="Parcial",Legenda!$C$5,0))+IF(F45="Sim",Legenda!$C$6,IF(F45="Parcial",Legenda!$C$7,0))+IF(G45="otool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binário"),Legenda!$C$9,0))+MIN(Legenda!$C$11,MAX(0,J45-1)*Legenda!$C$10)))),1)</f>
        <v/>
      </c>
      <c r="M45" s="96" t="inlineStr">
        <is>
          <t>A1-ghidra/Q-AP0-converters.md</t>
        </is>
      </c>
      <c r="N45" s="96" t="inlineStr">
        <is>
          <t>—</t>
        </is>
      </c>
      <c r="O45" s="96" t="inlineStr">
        <is>
          <t>[2026-10-19] Fechado (R80). Novos no clone (FWSamples só tem os do 1814).</t>
        </is>
      </c>
      <c r="P45" s="96">
        <f>LEFT(A45,FIND(".",A45&amp;".")-1)</f>
        <v/>
      </c>
    </row>
    <row r="46" ht="22.35" customHeight="1" s="21">
      <c r="A46" s="95" t="inlineStr">
        <is>
          <t>AP-0.6.3</t>
        </is>
      </c>
      <c r="B46" s="96" t="inlineStr">
        <is>
          <t>AP-0.6</t>
        </is>
      </c>
      <c r="C46" s="96" t="inlineStr">
        <is>
          <t>Tradutor do painel: ids → chaves</t>
        </is>
      </c>
      <c r="D46" s="96" t="inlineStr">
        <is>
          <t>Mixer: ids 1–4 → MAInput*, 5–10 → MASWReturn*; pares 1–2 entradas, 3–5 retornos SW. Saída: 1–6 MAOutput*, 7–8 MAHeadphone*, 9–10 MAAuxOutput*. Limites vêm das contagens do dispositivo; batem com todos os grupos do kext.</t>
        </is>
      </c>
      <c r="E46" s="96" t="inlineStr">
        <is>
          <t>Sim</t>
        </is>
      </c>
      <c r="F46" s="96" t="inlineStr">
        <is>
          <t>Parcial</t>
        </is>
      </c>
      <c r="G46" s="96" t="inlineStr">
        <is>
          <t>otool + Ghidra</t>
        </is>
      </c>
      <c r="H46" s="96" t="inlineStr">
        <is>
          <t>Não</t>
        </is>
      </c>
      <c r="I46" s="96" t="inlineStr">
        <is>
          <t>vtable do painel @0x164c08 lida nos bytes; Ghidra CXDevice::Choose*Bus* @0x6dc08–0x6de56; tabelas de grupo; captura 90</t>
        </is>
      </c>
      <c r="J46" s="96">
        <f>IF(TRIM(I46)="",0,LEN(I46)-LEN(SUBSTITUTE(I46,";",""))+1)</f>
        <v/>
      </c>
      <c r="K46" s="96" t="inlineStr">
        <is>
          <t>Consistente</t>
        </is>
      </c>
      <c r="L46" s="97">
        <f>ROUND(IF(H46="Sim",MIN(Legenda!$C$12,MIN(10,IF(E46="Sim",Legenda!$C$4,IF(E46="Parcial",Legenda!$C$5,0))+IF(F46="Sim",Legenda!$C$6,IF(F46="Parcial",Legenda!$C$7,0))+IF(G46="otool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binário"),Legenda!$C$9,0))+MIN(Legenda!$C$11,MAX(0,J46-1)*Legenda!$C$10))),IF(H46="Parcial",MIN(Legenda!$C$13,MIN(10,IF(E46="Sim",Legenda!$C$4,IF(E46="Parcial",Legenda!$C$5,0))+IF(F46="Sim",Legenda!$C$6,IF(F46="Parcial",Legenda!$C$7,0))+IF(G46="otool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binário"),Legenda!$C$9,0))+MIN(Legenda!$C$11,MAX(0,J46-1)*Legenda!$C$10)))),1)</f>
        <v/>
      </c>
      <c r="M46" s="96" t="inlineStr">
        <is>
          <t>A2-panel/PNAP-control-key-map.md §2</t>
        </is>
      </c>
      <c r="N46" s="96" t="inlineStr">
        <is>
          <t>—</t>
        </is>
      </c>
      <c r="O46" s="96" t="inlineStr">
        <is>
          <t>[2026-10-19] Slot da vtable → getter assumido pela ordem dos nomes (verificar com dump da vtable). [2026-10-19] Slots da vtable confirmados nos bytes (R84).</t>
        </is>
      </c>
      <c r="P46" s="96">
        <f>LEFT(A46,FIND(".",A46&amp;".")-1)</f>
        <v/>
      </c>
    </row>
    <row r="47" ht="15" customHeight="1" s="21">
      <c r="A47" s="95" t="inlineStr">
        <is>
          <t>AP-0.6.4</t>
        </is>
      </c>
      <c r="B47" s="96" t="inlineStr">
        <is>
          <t>AP-0.6</t>
        </is>
      </c>
      <c r="C47" s="96" t="inlineStr">
        <is>
          <t>Cookies que o painel envia ao Audiophile</t>
        </is>
      </c>
      <c r="D47" s="96" t="inlineStr">
        <is>
          <t>WriteSettingsToHardware: 0x5e5–0x5e7, 0x5ea–0x5f1 (mixer), 0x5f4–0x5fb (saídas), 0x5fd fones, 0x5ff clock, 0x601 taxa, 0x608/0x609 chave A/B; cobre as 14 chaves da captura 90. Solo só nos pares de saída 1–3; MAMonitorAuxOnOutput enviado para pares 1–4 (kext tem 3).</t>
        </is>
      </c>
      <c r="E47" s="96" t="inlineStr">
        <is>
          <t>Parcial</t>
        </is>
      </c>
      <c r="F47" s="96" t="inlineStr">
        <is>
          <t>Sim</t>
        </is>
      </c>
      <c r="G47" s="96" t="inlineStr">
        <is>
          <t>Ghidra</t>
        </is>
      </c>
      <c r="H47" s="96" t="inlineStr">
        <is>
          <t>Não</t>
        </is>
      </c>
      <c r="I47" s="96" t="inlineStr">
        <is>
          <t>Ghidra CFWDJDeviceSettings::WriteSettingsToHardware @0x62b94; P7-fup-translator §3; P13; captura 90</t>
        </is>
      </c>
      <c r="J47" s="96">
        <f>IF(TRIM(I47)="",0,LEN(I47)-LEN(SUBSTITUTE(I47,";",""))+1)</f>
        <v/>
      </c>
      <c r="K47" s="96" t="inlineStr">
        <is>
          <t>Consistente</t>
        </is>
      </c>
      <c r="L47" s="97">
        <f>ROUND(IF(H47="Sim",MIN(Legenda!$C$12,MIN(10,IF(E47="Sim",Legenda!$C$4,IF(E47="Parcial",Legenda!$C$5,0))+IF(F47="Sim",Legenda!$C$6,IF(F47="Parcial",Legenda!$C$7,0))+IF(G47="otool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binário"),Legenda!$C$9,0))+MIN(Legenda!$C$11,MAX(0,J47-1)*Legenda!$C$10))),IF(H47="Parcial",MIN(Legenda!$C$13,MIN(10,IF(E47="Sim",Legenda!$C$4,IF(E47="Parcial",Legenda!$C$5,0))+IF(F47="Sim",Legenda!$C$6,IF(F47="Parcial",Legenda!$C$7,0))+IF(G47="otool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binário"),Legenda!$C$9,0))+MIN(Legenda!$C$11,MAX(0,J47-1)*Legenda!$C$10)))),1)</f>
        <v/>
      </c>
      <c r="M47" s="96" t="inlineStr">
        <is>
          <t>A2-panel/PNAP-control-key-map.md §3</t>
        </is>
      </c>
      <c r="N47" s="96" t="inlineStr">
        <is>
          <t>—</t>
        </is>
      </c>
      <c r="O47" s="96" t="inlineStr">
        <is>
          <t>[2026-10-19] Abertos rotulados no PNAP: índice 4 do MonitorAux, flag 0x5fe, grupo do par de fones. [2026-10-19] Índice 4 do MonitorAux: descartado no próprio painel (NSRangeException capturada em SetChannelLevelProperty); 0x5fe: GetHWSetting não trata → sempre 1 (R84).</t>
        </is>
      </c>
      <c r="P47" s="96">
        <f>LEFT(A47,FIND(".",A47&amp;".")-1)</f>
        <v/>
      </c>
    </row>
    <row r="48" ht="32.8" customHeight="1" s="21">
      <c r="A48" s="95" t="inlineStr">
        <is>
          <t>AP-0.8.1</t>
        </is>
      </c>
      <c r="B48" s="96" t="inlineStr">
        <is>
          <t>AP-0.8</t>
        </is>
      </c>
      <c r="C48" s="96" t="inlineStr">
        <is>
          <t>Helper para o Audiophile</t>
        </is>
      </c>
      <c r="D48" s="96" t="inlineStr">
        <is>
          <t>O helper de referência é tabelado (8 classes, sem código por produto). O helper do clone só grava MAFirmwareStart em cada nub e persiste por GUID (MAMetaAllProperties); a única linha específica do 1814 é kDeviceClass (main.c:25) → vira tabela.</t>
        </is>
      </c>
      <c r="E48" s="96" t="inlineStr">
        <is>
          <t>Parcial</t>
        </is>
      </c>
      <c r="F48" s="96" t="inlineStr">
        <is>
          <t>Parcial</t>
        </is>
      </c>
      <c r="G48" s="96" t="inlineStr">
        <is>
          <t>Outro binário</t>
        </is>
      </c>
      <c r="H48" s="96" t="inlineStr">
        <is>
          <t>Não</t>
        </is>
      </c>
      <c r="I48" s="96" t="inlineStr">
        <is>
          <t>A4 H10 (tabela 0x97f4–0x9814); A4 H4; clone firmware-helper/main.c:8-10,24-25,52; Settings.c:94</t>
        </is>
      </c>
      <c r="J48" s="96">
        <f>IF(TRIM(I48)="",0,LEN(I48)-LEN(SUBSTITUTE(I48,";",""))+1)</f>
        <v/>
      </c>
      <c r="K48" s="96" t="inlineStr">
        <is>
          <t>Consistente</t>
        </is>
      </c>
      <c r="L48" s="97">
        <f>ROUND(IF(H48="Sim",MIN(Legenda!$C$12,MIN(10,IF(E48="Sim",Legenda!$C$4,IF(E48="Parcial",Legenda!$C$5,0))+IF(F48="Sim",Legenda!$C$6,IF(F48="Parcial",Legenda!$C$7,0))+IF(G48="otool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binário"),Legenda!$C$9,0))+MIN(Legenda!$C$11,MAX(0,J48-1)*Legenda!$C$10))),IF(H48="Parcial",MIN(Legenda!$C$13,MIN(10,IF(E48="Sim",Legenda!$C$4,IF(E48="Parcial",Legenda!$C$5,0))+IF(F48="Sim",Legenda!$C$6,IF(F48="Parcial",Legenda!$C$7,0))+IF(G48="otool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binário"),Legenda!$C$9,0))+MIN(Legenda!$C$11,MAX(0,J48-1)*Legenda!$C$10)))),1)</f>
        <v/>
      </c>
      <c r="M48" s="96" t="inlineStr">
        <is>
          <t>A4-helper/HAP-helper-firmware-midi-audiophile.md §1–2</t>
        </is>
      </c>
      <c r="N48" s="96" t="inlineStr">
        <is>
          <t>—</t>
        </is>
      </c>
      <c r="O48" s="96" t="inlineStr">
        <is>
          <t>[2026-10-19] R83.</t>
        </is>
      </c>
      <c r="P48" s="96">
        <f>LEFT(A48,FIND(".",A48&amp;".")-1)</f>
        <v/>
      </c>
    </row>
    <row r="49" ht="22.35" customHeight="1" s="21">
      <c r="A49" s="95" t="inlineStr">
        <is>
          <t>AP-0.8.2</t>
        </is>
      </c>
      <c r="B49" s="96" t="inlineStr">
        <is>
          <t>AP-0.8</t>
        </is>
      </c>
      <c r="C49" s="96" t="inlineStr">
        <is>
          <t>Leitor .bcd e firmware no instalador</t>
        </is>
      </c>
      <c r="D49" s="96" t="inlineStr">
        <is>
          <t>O clone nunca lê .bcd (ramo de update de firmware cortado, sem gravar flash). As tarefas AP-4.1 e AP-4.4 só servem a esse ramo.</t>
        </is>
      </c>
      <c r="E49" s="96" t="inlineStr">
        <is>
          <t>Parcial</t>
        </is>
      </c>
      <c r="F49" s="96" t="inlineStr">
        <is>
          <t>Não</t>
        </is>
      </c>
      <c r="G49" s="96" t="inlineStr">
        <is>
          <t>Outro binário</t>
        </is>
      </c>
      <c r="H49" s="96" t="inlineStr">
        <is>
          <t>Não</t>
        </is>
      </c>
      <c r="I49" s="96" t="inlineStr">
        <is>
          <t>clone firmware-helper/main.c:8-10; decisão do usuário 2026-10-15 (sem flash); audiophile-manual-reference §6</t>
        </is>
      </c>
      <c r="J49" s="96">
        <f>IF(TRIM(I49)="",0,LEN(I49)-LEN(SUBSTITUTE(I49,";",""))+1)</f>
        <v/>
      </c>
      <c r="K49" s="96" t="inlineStr">
        <is>
          <t>Consistente</t>
        </is>
      </c>
      <c r="L49" s="97">
        <f>ROUND(IF(H49="Sim",MIN(Legenda!$C$12,MIN(10,IF(E49="Sim",Legenda!$C$4,IF(E49="Parcial",Legenda!$C$5,0))+IF(F49="Sim",Legenda!$C$6,IF(F49="Parcial",Legenda!$C$7,0))+IF(G49="otool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binário"),Legenda!$C$9,0))+MIN(Legenda!$C$11,MAX(0,J49-1)*Legenda!$C$10))),IF(H49="Parcial",MIN(Legenda!$C$13,MIN(10,IF(E49="Sim",Legenda!$C$4,IF(E49="Parcial",Legenda!$C$5,0))+IF(F49="Sim",Legenda!$C$6,IF(F49="Parcial",Legenda!$C$7,0))+IF(G49="otool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binário"),Legenda!$C$9,0))+MIN(Legenda!$C$11,MAX(0,J49-1)*Legenda!$C$10)))),1)</f>
        <v/>
      </c>
      <c r="M49" s="96" t="inlineStr">
        <is>
          <t>A4-helper/HAP-helper-firmware-midi-audiophile.md §2</t>
        </is>
      </c>
      <c r="N49" s="96" t="inlineStr">
        <is>
          <t>—</t>
        </is>
      </c>
      <c r="O49" s="96" t="inlineStr">
        <is>
          <t>[2026-10-19] Proposta: cancelar AP-4.1 e AP-4.4 (corte de escopo) — decisão sua. [2026-10-19] Decisão do usuário 2026-10-19: AP-4.1 e AP-4.4 cortados.</t>
        </is>
      </c>
      <c r="P49" s="96">
        <f>LEFT(A49,FIND(".",A49&amp;".")-1)</f>
        <v/>
      </c>
    </row>
    <row r="50" ht="32.8" customHeight="1" s="21">
      <c r="A50" s="95" t="inlineStr">
        <is>
          <t>AP-0.8.3</t>
        </is>
      </c>
      <c r="B50" s="96" t="inlineStr">
        <is>
          <t>AP-0.8</t>
        </is>
      </c>
      <c r="C50" s="96" t="inlineStr">
        <is>
          <t>Boot do Audiophile a partir da flash</t>
        </is>
      </c>
      <c r="D50" s="96" t="inlineStr">
        <is>
          <t>Se o Audiophile tem imagem na flash e auto-inicia como o 1814 (~3 s) ou espera o Go do MAFirmwareStart.</t>
        </is>
      </c>
      <c r="E50" s="96" t="inlineStr">
        <is>
          <t>Não</t>
        </is>
      </c>
      <c r="F50" s="96" t="inlineStr">
        <is>
          <t>Parcial</t>
        </is>
      </c>
      <c r="G50" s="96" t="inlineStr">
        <is>
          <t>Nenhum</t>
        </is>
      </c>
      <c r="H50" s="96" t="inlineStr">
        <is>
          <t>Parcial</t>
        </is>
      </c>
      <c r="I50" s="96" t="inlineStr">
        <is>
          <t>captura 89 (MAFirmwareInfo, datas 2007-05-04 / 2003-10-06); snd-bebob bebob_maudio.c:10-24; Q7 Correction 2026-10-15 (1814)</t>
        </is>
      </c>
      <c r="J50" s="96">
        <f>IF(TRIM(I50)="",0,LEN(I50)-LEN(SUBSTITUTE(I50,";",""))+1)</f>
        <v/>
      </c>
      <c r="K50" s="96" t="inlineStr">
        <is>
          <t>Aberto / não resolvido</t>
        </is>
      </c>
      <c r="L50" s="97">
        <f>ROUND(IF(H50="Sim",MIN(Legenda!$C$12,MIN(10,IF(E50="Sim",Legenda!$C$4,IF(E50="Parcial",Legenda!$C$5,0))+IF(F50="Sim",Legenda!$C$6,IF(F50="Parcial",Legenda!$C$7,0))+IF(G50="otool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binário"),Legenda!$C$9,0))+MIN(Legenda!$C$11,MAX(0,J50-1)*Legenda!$C$10))),IF(H50="Parcial",MIN(Legenda!$C$13,MIN(10,IF(E50="Sim",Legenda!$C$4,IF(E50="Parcial",Legenda!$C$5,0))+IF(F50="Sim",Legenda!$C$6,IF(F50="Parcial",Legenda!$C$7,0))+IF(G50="otool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binário"),Legenda!$C$9,0))+MIN(Legenda!$C$11,MAX(0,J50-1)*Legenda!$C$10)))),1)</f>
        <v/>
      </c>
      <c r="M50" s="96" t="inlineStr">
        <is>
          <t>A4-helper/HAP-helper-firmware-midi-audiophile.md §2</t>
        </is>
      </c>
      <c r="N50" s="96" t="inlineStr">
        <is>
          <t>—</t>
        </is>
      </c>
      <c r="O50" s="96" t="inlineStr">
        <is>
          <t>[2026-10-19] Fecha no AP-7.1.</t>
        </is>
      </c>
      <c r="P50" s="96">
        <f>LEFT(A50,FIND(".",A50&amp;".")-1)</f>
        <v/>
      </c>
    </row>
    <row r="51" ht="22.35" customHeight="1" s="21">
      <c r="A51" s="95" t="inlineStr">
        <is>
          <t>AP-0.8.4</t>
        </is>
      </c>
      <c r="B51" s="96" t="inlineStr">
        <is>
          <t>AP-0.8</t>
        </is>
      </c>
      <c r="C51" s="96" t="inlineStr">
        <is>
          <t>Plug-in MIDI original com o Audiophile</t>
        </is>
      </c>
      <c r="D51" s="96" t="inlineStr">
        <is>
          <t>O plug-in procura com_m_audio_FWAudiophileDevice; precisa da classe alias com_m_audio_FWAudiophileDevice (padrão do 1814), MAMIDIInputPorts = ("1"), MAMIDIOutputPorts = ("1"), IOAudioDeviceName = "FireWire Audiophile".</t>
        </is>
      </c>
      <c r="E51" s="96" t="inlineStr">
        <is>
          <t>Parcial</t>
        </is>
      </c>
      <c r="F51" s="96" t="inlineStr">
        <is>
          <t>Sim</t>
        </is>
      </c>
      <c r="G51" s="96" t="inlineStr">
        <is>
          <t>Ghidra</t>
        </is>
      </c>
      <c r="H51" s="96" t="inlineStr">
        <is>
          <t>Não</t>
        </is>
      </c>
      <c r="I51" s="96" t="inlineStr">
        <is>
          <t>A3 M1:174-186, M2; clone FWAudioDeviceChain.h:183-191; R58 (plug-in carrega no 10.13.6); captura 89</t>
        </is>
      </c>
      <c r="J51" s="96">
        <f>IF(TRIM(I51)="",0,LEN(I51)-LEN(SUBSTITUTE(I51,";",""))+1)</f>
        <v/>
      </c>
      <c r="K51" s="96" t="inlineStr">
        <is>
          <t>Consistente</t>
        </is>
      </c>
      <c r="L51" s="97">
        <f>ROUND(IF(H51="Sim",MIN(Legenda!$C$12,MIN(10,IF(E51="Sim",Legenda!$C$4,IF(E51="Parcial",Legenda!$C$5,0))+IF(F51="Sim",Legenda!$C$6,IF(F51="Parcial",Legenda!$C$7,0))+IF(G51="otool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binário"),Legenda!$C$9,0))+MIN(Legenda!$C$11,MAX(0,J51-1)*Legenda!$C$10))),IF(H51="Parcial",MIN(Legenda!$C$13,MIN(10,IF(E51="Sim",Legenda!$C$4,IF(E51="Parcial",Legenda!$C$5,0))+IF(F51="Sim",Legenda!$C$6,IF(F51="Parcial",Legenda!$C$7,0))+IF(G51="otool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binário"),Legenda!$C$9,0))+MIN(Legenda!$C$11,MAX(0,J51-1)*Legenda!$C$10)))),1)</f>
        <v/>
      </c>
      <c r="M51" s="96" t="inlineStr">
        <is>
          <t>A4-helper/HAP-helper-firmware-midi-audiophile.md §3</t>
        </is>
      </c>
      <c r="N51" s="96" t="inlineStr">
        <is>
          <t>—</t>
        </is>
      </c>
      <c r="O51" s="96" t="inlineStr">
        <is>
          <t>[2026-10-19] R83.</t>
        </is>
      </c>
      <c r="P51" s="96">
        <f>LEFT(A51,FIND(".",A51&amp;".")-1)</f>
        <v/>
      </c>
    </row>
    <row r="52" ht="32.8" customHeight="1" s="21">
      <c r="A52" s="95" t="inlineStr">
        <is>
          <t>AP-0.2.13</t>
        </is>
      </c>
      <c r="B52" s="96" t="inlineStr">
        <is>
          <t>AP-0.2</t>
        </is>
      </c>
      <c r="C52" s="96" t="inlineStr">
        <is>
          <t>Partida, troca de formato, clock e sleep (base FWAVCAudioDevice)</t>
        </is>
      </c>
      <c r="D52" s="96" t="inlineStr">
        <is>
          <t>initHardware: clock "blank slate" (interno + IOSleep 2500 ms) → reenvio do mixer → pacotes de controle. Blank slate em todo SetIOFormat, setFormat do stream, sleep e wake. Setter de MAClockSource: converte valores antigos (&lt;0x40000000), aplica, liga/desliga sync externo no engine. Sleep: desconecta plugs; wake: 500 ms, reenvio, blank slate, ConnectAllPlugs.</t>
        </is>
      </c>
      <c r="E52" s="96" t="inlineStr">
        <is>
          <t>Parcial</t>
        </is>
      </c>
      <c r="F52" s="96" t="inlineStr">
        <is>
          <t>Não</t>
        </is>
      </c>
      <c r="G52" s="96" t="inlineStr">
        <is>
          <t>otool + Ghidra</t>
        </is>
      </c>
      <c r="H52" s="96" t="inlineStr">
        <is>
          <t>Não</t>
        </is>
      </c>
      <c r="I52" s="96" t="inlineStr">
        <is>
          <t>Ghidra FWAVCAudioDevice::{initHardware,SetBlankSlateClockSource,SetClockSource,SystemWillSleep,SystemWokeUp}; chamadores por callq *0xb58/0xb60/0xb78/0xb88/0xb90 no mafw.asm; slots da vtable do Audiophile e do FWEngine2</t>
        </is>
      </c>
      <c r="J52" s="96">
        <f>IF(TRIM(I52)="",0,LEN(I52)-LEN(SUBSTITUTE(I52,";",""))+1)</f>
        <v/>
      </c>
      <c r="K52" s="96" t="inlineStr">
        <is>
          <t>Consistente</t>
        </is>
      </c>
      <c r="L52" s="97">
        <f>ROUND(IF(H52="Sim",MIN(Legenda!$C$12,MIN(10,IF(E52="Sim",Legenda!$C$4,IF(E52="Parcial",Legenda!$C$5,0))+IF(F52="Sim",Legenda!$C$6,IF(F52="Parcial",Legenda!$C$7,0))+IF(G52="otool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binário"),Legenda!$C$9,0))+MIN(Legenda!$C$11,MAX(0,J52-1)*Legenda!$C$10))),IF(H52="Parcial",MIN(Legenda!$C$13,MIN(10,IF(E52="Sim",Legenda!$C$4,IF(E52="Parcial",Legenda!$C$5,0))+IF(F52="Sim",Legenda!$C$6,IF(F52="Parcial",Legenda!$C$7,0))+IF(G52="otool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binário"),Legenda!$C$9,0))+MIN(Legenda!$C$11,MAX(0,J52-1)*Legenda!$C$10)))),1)</f>
        <v/>
      </c>
      <c r="M52" s="96" t="inlineStr">
        <is>
          <t>A1-ghidra/Q-AP0-nub-and-rev2.md §5</t>
        </is>
      </c>
      <c r="N52" s="96" t="inlineStr">
        <is>
          <t>—</t>
        </is>
      </c>
      <c r="O52" s="96" t="inlineStr">
        <is>
          <t>[2026-10-19] No clone a base é no-op e só o 1814 implementa: trabalho novo para o Audiophile (R85). Aberto: ponto exato em que o clock do usuário volta após uma troca de taxa.</t>
        </is>
      </c>
      <c r="P52" s="96">
        <f>LEFT(A52,FIND(".",A52&amp;".")-1)</f>
        <v/>
      </c>
    </row>
    <row r="53" ht="22.35" customHeight="1" s="21">
      <c r="A53" s="95" t="inlineStr">
        <is>
          <t>AP-0.7.5</t>
        </is>
      </c>
      <c r="B53" s="96" t="inlineStr">
        <is>
          <t>AP-0.7</t>
        </is>
      </c>
      <c r="C53" s="96" t="inlineStr">
        <is>
          <t>Tabela de canais e taxas</t>
        </is>
      </c>
      <c r="D53" s="96" t="inlineStr">
        <is>
          <t>Uma tabela para todas as taxas (sDeviceChannels @0x4aaa0): 4 entradas, 6 saídas, MIDI 1, grupos: entrada analógica, entrada S/PDIF, saídas analógicas 1–2, saída S/PDIF. Taxas 44.1/48/88.2/96 (@0x2f720). Sem bits de modo.</t>
        </is>
      </c>
      <c r="E53" s="96" t="inlineStr">
        <is>
          <t>Sim</t>
        </is>
      </c>
      <c r="F53" s="96" t="inlineStr">
        <is>
          <t>Sim</t>
        </is>
      </c>
      <c r="G53" s="96" t="inlineStr">
        <is>
          <t>otool + Ghidra</t>
        </is>
      </c>
      <c r="H53" s="96" t="inlineStr">
        <is>
          <t>Não</t>
        </is>
      </c>
      <c r="I53" s="96" t="inlineStr">
        <is>
          <t>bytes 0x4aaa0 e 0x2f720; lea em 0xafb8; layout FWDeviceChannels (clone FWRates.h:57); captura 89 (6/4 canais, 4 taxas)</t>
        </is>
      </c>
      <c r="J53" s="96">
        <f>IF(TRIM(I53)="",0,LEN(I53)-LEN(SUBSTITUTE(I53,";",""))+1)</f>
        <v/>
      </c>
      <c r="K53" s="96" t="inlineStr">
        <is>
          <t>Consistente</t>
        </is>
      </c>
      <c r="L53" s="97">
        <f>ROUND(IF(H53="Sim",MIN(Legenda!$C$12,MIN(10,IF(E53="Sim",Legenda!$C$4,IF(E53="Parcial",Legenda!$C$5,0))+IF(F53="Sim",Legenda!$C$6,IF(F53="Parcial",Legenda!$C$7,0))+IF(G53="otool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binário"),Legenda!$C$9,0))+MIN(Legenda!$C$11,MAX(0,J53-1)*Legenda!$C$10))),IF(H53="Parcial",MIN(Legenda!$C$13,MIN(10,IF(E53="Sim",Legenda!$C$4,IF(E53="Parcial",Legenda!$C$5,0))+IF(F53="Sim",Legenda!$C$6,IF(F53="Parcial",Legenda!$C$7,0))+IF(G53="otool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binário"),Legenda!$C$9,0))+MIN(Legenda!$C$11,MAX(0,J53-1)*Legenda!$C$10)))),1)</f>
        <v/>
      </c>
      <c r="M53" s="96" t="inlineStr">
        <is>
          <t>A1-ghidra/Q-AP0-nub-and-rev2.md §6</t>
        </is>
      </c>
      <c r="N53" s="96" t="inlineStr">
        <is>
          <t>—</t>
        </is>
      </c>
      <c r="O53" s="96" t="inlineStr">
        <is>
          <t>[2026-10-19] R85.</t>
        </is>
      </c>
      <c r="P53" s="96">
        <f>LEFT(A53,FIND(".",A53&amp;".")-1)</f>
        <v/>
      </c>
    </row>
    <row r="54" ht="32.8" customHeight="1" s="21">
      <c r="A54" s="95" t="inlineStr">
        <is>
          <t>AP-0.2.14</t>
        </is>
      </c>
      <c r="B54" s="96" t="inlineStr">
        <is>
          <t>AP-0.2</t>
        </is>
      </c>
      <c r="C54" s="96" t="inlineStr">
        <is>
          <t>Caminhos genéricos herdados (AC-3, banda, CMP)</t>
        </is>
      </c>
      <c r="D54" s="96" t="inlineStr">
        <is>
          <t>SupportsAC3 = 1, WantsAC3MixerBypass = 0, AC3Activated vazio, banda máx. 0x928 (todos da base, já iguais no clone); CMP liga o plug 0 do dispositivo nos dois sentidos — os 2 oPCR / 2 iPCR não pedem mudança.</t>
        </is>
      </c>
      <c r="E54" s="96" t="inlineStr">
        <is>
          <t>Sim</t>
        </is>
      </c>
      <c r="F54" s="96" t="inlineStr">
        <is>
          <t>Parcial</t>
        </is>
      </c>
      <c r="G54" s="96" t="inlineStr">
        <is>
          <t>otool + Ghidra</t>
        </is>
      </c>
      <c r="H54" s="96" t="inlineStr">
        <is>
          <t>Não</t>
        </is>
      </c>
      <c r="I54" s="96" t="inlineStr">
        <is>
          <t>vtable do Audiophile (bytes) slots 0xaa0–0xb38; asm 0xa97e/0xa98a/0xa9d0/0xa9dc; clone FWAudioDeviceChain.h:47-48,76-78; FWCMP.h:69; Q-START; captura 89 (formatos AC-3)</t>
        </is>
      </c>
      <c r="J54" s="96">
        <f>IF(TRIM(I54)="",0,LEN(I54)-LEN(SUBSTITUTE(I54,";",""))+1)</f>
        <v/>
      </c>
      <c r="K54" s="96" t="inlineStr">
        <is>
          <t>Consistente</t>
        </is>
      </c>
      <c r="L54" s="97">
        <f>ROUND(IF(H54="Sim",MIN(Legenda!$C$12,MIN(10,IF(E54="Sim",Legenda!$C$4,IF(E54="Parcial",Legenda!$C$5,0))+IF(F54="Sim",Legenda!$C$6,IF(F54="Parcial",Legenda!$C$7,0))+IF(G54="otool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binário"),Legenda!$C$9,0))+MIN(Legenda!$C$11,MAX(0,J54-1)*Legenda!$C$10))),IF(H54="Parcial",MIN(Legenda!$C$13,MIN(10,IF(E54="Sim",Legenda!$C$4,IF(E54="Parcial",Legenda!$C$5,0))+IF(F54="Sim",Legenda!$C$6,IF(F54="Parcial",Legenda!$C$7,0))+IF(G54="otool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binário"),Legenda!$C$9,0))+MIN(Legenda!$C$11,MAX(0,J54-1)*Legenda!$C$10)))),1)</f>
        <v/>
      </c>
      <c r="M54" s="96" t="inlineStr">
        <is>
          <t>A1-ghidra/Q-AP0-nub-and-rev2.md §7</t>
        </is>
      </c>
      <c r="N54" s="96" t="inlineStr">
        <is>
          <t>—</t>
        </is>
      </c>
      <c r="O54" s="96" t="inlineStr">
        <is>
          <t>[2026-10-19] R88.</t>
        </is>
      </c>
      <c r="P54" s="96">
        <f>LEFT(A54,FIND(".",A54&amp;".")-1)</f>
        <v/>
      </c>
    </row>
    <row r="55" ht="22.35" customHeight="1" s="21">
      <c r="A55" s="95" t="inlineStr">
        <is>
          <t>AP-0.4.9</t>
        </is>
      </c>
      <c r="B55" s="96" t="inlineStr">
        <is>
          <t>AP-0.4</t>
        </is>
      </c>
      <c r="C55" s="96" t="inlineStr">
        <is>
          <t>Codificação do byte de taxa (w2) no pacote de status</t>
        </is>
      </c>
      <c r="D55" s="96" t="inlineStr">
        <is>
          <t>ReadHSCIData passa w2 direto como FDFValue para DetectExternalSyncChanges; não se sabe se o Audiophile usa índice FDF (0..6) ou código AV/C.</t>
        </is>
      </c>
      <c r="E55" s="96" t="inlineStr">
        <is>
          <t>Sim</t>
        </is>
      </c>
      <c r="F55" s="96" t="inlineStr">
        <is>
          <t>Sim</t>
        </is>
      </c>
      <c r="G55" s="96" t="inlineStr">
        <is>
          <t>otool + Ghidra</t>
        </is>
      </c>
      <c r="H55" s="96" t="inlineStr">
        <is>
          <t>Não</t>
        </is>
      </c>
      <c r="I55" s="96" t="inlineStr">
        <is>
          <t>asm 0xbae2-0xbafb; captura 93 (leituras da janela de status nas 4 taxas e com sync externo); FWAP.bcd BCODirectory DataAddress 0xffffc7:0x600000</t>
        </is>
      </c>
      <c r="J55" s="96">
        <f>IF(TRIM(I55)="",0,LEN(I55)-LEN(SUBSTITUTE(I55,";",""))+1)</f>
        <v/>
      </c>
      <c r="K55" s="96" t="inlineStr">
        <is>
          <t>Consistente</t>
        </is>
      </c>
      <c r="L55" s="97">
        <f>ROUND(IF(H55="Sim",MIN(Legenda!$C$12,MIN(10,IF(E55="Sim",Legenda!$C$4,IF(E55="Parcial",Legenda!$C$5,0))+IF(F55="Sim",Legenda!$C$6,IF(F55="Parcial",Legenda!$C$7,0))+IF(G55="otool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binário"),Legenda!$C$9,0))+MIN(Legenda!$C$11,MAX(0,J55-1)*Legenda!$C$10))),IF(H55="Parcial",MIN(Legenda!$C$13,MIN(10,IF(E55="Sim",Legenda!$C$4,IF(E55="Parcial",Legenda!$C$5,0))+IF(F55="Sim",Legenda!$C$6,IF(F55="Parcial",Legenda!$C$7,0))+IF(G55="otool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binário"),Legenda!$C$9,0))+MIN(Legenda!$C$11,MAX(0,J55-1)*Legenda!$C$10)))),1)</f>
        <v/>
      </c>
      <c r="M55" s="96" t="inlineStr">
        <is>
          <t>B5-sl-dtrace-truth/captures/93-sl-audiophile-status-window-reads/README.md</t>
        </is>
      </c>
      <c r="N55" s="96" t="inlineStr">
        <is>
          <t>—</t>
        </is>
      </c>
      <c r="O55" s="96" t="inlineStr">
        <is>
          <t>[2026-10-19] Fecha no rig SL: ler 0xFFC7:0x00600000 com clock S/PDIF a 44.1 e 48 kHz (leitura, precisa do seu OK). [2026-10-19] Fechado (R92): w2 = índice FDF (1/2/3/4), 0xFF sem lock; w3 = lock 1/0.</t>
        </is>
      </c>
      <c r="P55" s="96">
        <f>LEFT(A55,FIND(".",A55&amp;".")-1)</f>
        <v/>
      </c>
    </row>
    <row r="56" ht="22.35" customHeight="1" s="21">
      <c r="A56" s="95" t="inlineStr">
        <is>
          <t>AP-0.6.5</t>
        </is>
      </c>
      <c r="B56" s="96" t="inlineStr">
        <is>
          <t>AP-0.6</t>
        </is>
      </c>
      <c r="C56" s="96" t="inlineStr">
        <is>
          <t>Página de picos: painel × kext</t>
        </is>
      </c>
      <c r="D56" s="96" t="inlineStr">
        <is>
          <t>Painel (não embutido): entradas page[0..3], saídas/fones/aux page[4..13], retornos SW page[14..19]; o kext escreve exatamente nessa ordem.</t>
        </is>
      </c>
      <c r="E56" s="96" t="inlineStr">
        <is>
          <t>Parcial</t>
        </is>
      </c>
      <c r="F56" s="96" t="inlineStr">
        <is>
          <t>Não</t>
        </is>
      </c>
      <c r="G56" s="96" t="inlineStr">
        <is>
          <t>Ghidra</t>
        </is>
      </c>
      <c r="H56" s="96" t="inlineStr">
        <is>
          <t>Não</t>
        </is>
      </c>
      <c r="I56" s="96" t="inlineStr">
        <is>
          <t>Ghidra CFWDJMiniMetersView::LoadUIElements; CXDevice::GetHWSetting @0x6e2ca (0x5e9/0x5f3); kext ReadHSCIData asm 0xba92; GetFirstSWReturnPeakMeterIndex</t>
        </is>
      </c>
      <c r="J56" s="96">
        <f>IF(TRIM(I56)="",0,LEN(I56)-LEN(SUBSTITUTE(I56,";",""))+1)</f>
        <v/>
      </c>
      <c r="K56" s="96" t="inlineStr">
        <is>
          <t>Consistente</t>
        </is>
      </c>
      <c r="L56" s="97">
        <f>ROUND(IF(H56="Sim",MIN(Legenda!$C$12,MIN(10,IF(E56="Sim",Legenda!$C$4,IF(E56="Parcial",Legenda!$C$5,0))+IF(F56="Sim",Legenda!$C$6,IF(F56="Parcial",Legenda!$C$7,0))+IF(G56="otool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binário"),Legenda!$C$9,0))+MIN(Legenda!$C$11,MAX(0,J56-1)*Legenda!$C$10))),IF(H56="Parcial",MIN(Legenda!$C$13,MIN(10,IF(E56="Sim",Legenda!$C$4,IF(E56="Parcial",Legenda!$C$5,0))+IF(F56="Sim",Legenda!$C$6,IF(F56="Parcial",Legenda!$C$7,0))+IF(G56="otool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binário"),Legenda!$C$9,0))+MIN(Legenda!$C$11,MAX(0,J56-1)*Legenda!$C$10)))),1)</f>
        <v/>
      </c>
      <c r="M56" s="96" t="inlineStr">
        <is>
          <t>A2-panel/PNAP-control-key-map.md §6</t>
        </is>
      </c>
      <c r="N56" s="96" t="inlineStr">
        <is>
          <t>—</t>
        </is>
      </c>
      <c r="O56" s="96" t="inlineStr">
        <is>
          <t>[2026-10-19] R89.</t>
        </is>
      </c>
      <c r="P56" s="96">
        <f>LEFT(A56,FIND(".",A56&amp;".")-1)</f>
        <v/>
      </c>
    </row>
    <row r="57" ht="32.8" customHeight="1" s="21">
      <c r="A57" s="95" t="inlineStr">
        <is>
          <t>AP-0.9.4</t>
        </is>
      </c>
      <c r="B57" s="96" t="inlineStr">
        <is>
          <t>AP-0.9</t>
        </is>
      </c>
      <c r="C57" s="96" t="inlineStr">
        <is>
          <t>Telas do painel oficial (captura 91)</t>
        </is>
      </c>
      <c r="D57" s="96" t="inlineStr">
        <is>
          <t>Abas mixer, output, hardware, about e as duas vistas de medidores, capturadas no rig SL (v1.9 / painel 1.4); a estrutura bate com o mapa estático (PNAP).</t>
        </is>
      </c>
      <c r="E57" s="96" t="inlineStr">
        <is>
          <t>Não</t>
        </is>
      </c>
      <c r="F57" s="96" t="inlineStr">
        <is>
          <t>Sim</t>
        </is>
      </c>
      <c r="G57" s="96" t="inlineStr">
        <is>
          <t>Nenhum</t>
        </is>
      </c>
      <c r="H57" s="96" t="inlineStr">
        <is>
          <t>Não</t>
        </is>
      </c>
      <c r="I57" s="96" t="inlineStr">
        <is>
          <t>captura 91 (8 PNG + README); slpanel.py</t>
        </is>
      </c>
      <c r="J57" s="96">
        <f>IF(TRIM(I57)="",0,LEN(I57)-LEN(SUBSTITUTE(I57,";",""))+1)</f>
        <v/>
      </c>
      <c r="K57" s="96" t="inlineStr">
        <is>
          <t>Consistente</t>
        </is>
      </c>
      <c r="L57" s="97">
        <f>ROUND(IF(H57="Sim",MIN(Legenda!$C$12,MIN(10,IF(E57="Sim",Legenda!$C$4,IF(E57="Parcial",Legenda!$C$5,0))+IF(F57="Sim",Legenda!$C$6,IF(F57="Parcial",Legenda!$C$7,0))+IF(G57="otool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binário"),Legenda!$C$9,0))+MIN(Legenda!$C$11,MAX(0,J57-1)*Legenda!$C$10))),IF(H57="Parcial",MIN(Legenda!$C$13,MIN(10,IF(E57="Sim",Legenda!$C$4,IF(E57="Parcial",Legenda!$C$5,0))+IF(F57="Sim",Legenda!$C$6,IF(F57="Parcial",Legenda!$C$7,0))+IF(G57="otool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binário"),Legenda!$C$9,0))+MIN(Legenda!$C$11,MAX(0,J57-1)*Legenda!$C$10)))),1)</f>
        <v/>
      </c>
      <c r="M57" s="96" t="inlineStr">
        <is>
          <t>B5-sl-dtrace-truth/captures/91-sl-audiophile-panel-screens/README.md</t>
        </is>
      </c>
      <c r="N57" s="96" t="inlineStr">
        <is>
          <t>—</t>
        </is>
      </c>
      <c r="O57" s="96" t="inlineStr">
        <is>
          <t>[2026-10-19] R90. Só abas e vista clicadas; rig deixado como estava. [2026-10-19] Uso: só referência de controles; o layout segue o novo painel do 1814 (decisão do usuário 2026-10-19).</t>
        </is>
      </c>
      <c r="P57" s="96">
        <f>LEFT(A57,FIND(".",A57&amp;".")-1)</f>
        <v/>
      </c>
    </row>
    <row r="58" ht="22.35" customHeight="1" s="21">
      <c r="A58" s="95" t="inlineStr">
        <is>
          <t>AP-0.9.5</t>
        </is>
      </c>
      <c r="B58" s="96" t="inlineStr">
        <is>
          <t>AP-0.9</t>
        </is>
      </c>
      <c r="C58" s="96" t="inlineStr">
        <is>
          <t>Mapa controle → chave → hardware (medido)</t>
        </is>
      </c>
      <c r="D58" s="96" t="inlineStr">
        <is>
          <t>Cada controle do painel oficial clicado com DTrace: chave e codificação de cada um (máscaras de rota, fonte de fones 1/2/4/8, rotas A/B, máscaras do Level Controller, clock, taxa via IOAudioStreamFormat, reset via MAMetaResetToFactorySettings), unido aos comandos do driver para o dispositivo.</t>
        </is>
      </c>
      <c r="E58" s="96" t="inlineStr">
        <is>
          <t>Sim</t>
        </is>
      </c>
      <c r="F58" s="96" t="inlineStr">
        <is>
          <t>Sim</t>
        </is>
      </c>
      <c r="G58" s="96" t="inlineStr">
        <is>
          <t>Ghidra</t>
        </is>
      </c>
      <c r="H58" s="96" t="inlineStr">
        <is>
          <t>Não</t>
        </is>
      </c>
      <c r="I58" s="96" t="inlineStr">
        <is>
          <t>captura 92 (151 escritas + ações); PNAP §7; R77–R89</t>
        </is>
      </c>
      <c r="J58" s="96">
        <f>IF(TRIM(I58)="",0,LEN(I58)-LEN(SUBSTITUTE(I58,";",""))+1)</f>
        <v/>
      </c>
      <c r="K58" s="96" t="inlineStr">
        <is>
          <t>Consistente</t>
        </is>
      </c>
      <c r="L58" s="97">
        <f>ROUND(IF(H58="Sim",MIN(Legenda!$C$12,MIN(10,IF(E58="Sim",Legenda!$C$4,IF(E58="Parcial",Legenda!$C$5,0))+IF(F58="Sim",Legenda!$C$6,IF(F58="Parcial",Legenda!$C$7,0))+IF(G58="otool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binário"),Legenda!$C$9,0))+MIN(Legenda!$C$11,MAX(0,J58-1)*Legenda!$C$10))),IF(H58="Parcial",MIN(Legenda!$C$13,MIN(10,IF(E58="Sim",Legenda!$C$4,IF(E58="Parcial",Legenda!$C$5,0))+IF(F58="Sim",Legenda!$C$6,IF(F58="Parcial",Legenda!$C$7,0))+IF(G58="otool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binário"),Legenda!$C$9,0))+MIN(Legenda!$C$11,MAX(0,J58-1)*Legenda!$C$10)))),1)</f>
        <v/>
      </c>
      <c r="M58" s="96" t="inlineStr">
        <is>
          <t>A2-panel/PNAP-control-key-map.md §7; B5-sl-dtrace-truth/captures/92-sl-audiophile-controls-rates-reset/README.md</t>
        </is>
      </c>
      <c r="N58" s="96" t="inlineStr">
        <is>
          <t>—</t>
        </is>
      </c>
      <c r="O58" s="96" t="inlineStr">
        <is>
          <t>[2026-10-19] R91. Base para estender o novo painel do 1814.</t>
        </is>
      </c>
      <c r="P58" s="96">
        <f>LEFT(A58,FIND(".",A58&amp;".")-1)</f>
        <v/>
      </c>
    </row>
    <row r="59" ht="22.35" customHeight="1" s="21">
      <c r="A59" s="95" t="inlineStr">
        <is>
          <t>AP-0.9.6</t>
        </is>
      </c>
      <c r="B59" s="96" t="inlineStr">
        <is>
          <t>AP-0.9</t>
        </is>
      </c>
      <c r="C59" s="96" t="inlineStr">
        <is>
          <t>Registro nas 4 taxas (v1.9)</t>
        </is>
      </c>
      <c r="D59" s="96" t="inlineStr">
        <is>
          <t>Latência de saída 226/210/457/385, entrada 32/32/64/64, offset 40/48/88/96, MABytesPerCycle 400/400/784/784; 6 saídas / 4 entradas em todas as taxas.</t>
        </is>
      </c>
      <c r="E59" s="96" t="inlineStr">
        <is>
          <t>Não</t>
        </is>
      </c>
      <c r="F59" s="96" t="inlineStr">
        <is>
          <t>Sim</t>
        </is>
      </c>
      <c r="G59" s="96" t="inlineStr">
        <is>
          <t>Nenhum</t>
        </is>
      </c>
      <c r="H59" s="96" t="inlineStr">
        <is>
          <t>Não</t>
        </is>
      </c>
      <c r="I59" s="96" t="inlineStr">
        <is>
          <t>captura 92 rates/ioreg-*.txt</t>
        </is>
      </c>
      <c r="J59" s="96">
        <f>IF(TRIM(I59)="",0,LEN(I59)-LEN(SUBSTITUTE(I59,";",""))+1)</f>
        <v/>
      </c>
      <c r="K59" s="96" t="inlineStr">
        <is>
          <t>Consistente</t>
        </is>
      </c>
      <c r="L59" s="97">
        <f>ROUND(IF(H59="Sim",MIN(Legenda!$C$12,MIN(10,IF(E59="Sim",Legenda!$C$4,IF(E59="Parcial",Legenda!$C$5,0))+IF(F59="Sim",Legenda!$C$6,IF(F59="Parcial",Legenda!$C$7,0))+IF(G59="otool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binário"),Legenda!$C$9,0))+MIN(Legenda!$C$11,MAX(0,J59-1)*Legenda!$C$10))),IF(H59="Parcial",MIN(Legenda!$C$13,MIN(10,IF(E59="Sim",Legenda!$C$4,IF(E59="Parcial",Legenda!$C$5,0))+IF(F59="Sim",Legenda!$C$6,IF(F59="Parcial",Legenda!$C$7,0))+IF(G59="otool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binário"),Legenda!$C$9,0))+MIN(Legenda!$C$11,MAX(0,J59-1)*Legenda!$C$10)))),1)</f>
        <v/>
      </c>
      <c r="M59" s="96" t="inlineStr">
        <is>
          <t>B5-sl-dtrace-truth/captures/92-sl-audiophile-controls-rates-reset/README.md</t>
        </is>
      </c>
      <c r="N59" s="96" t="inlineStr">
        <is>
          <t>—</t>
        </is>
      </c>
      <c r="O59" s="96" t="inlineStr">
        <is>
          <t>[2026-10-19] Latências = tabela base do Rev2 (confirma R86); banda bate com o reference §3.2.</t>
        </is>
      </c>
      <c r="P59" s="96">
        <f>LEFT(A59,FIND(".",A59&amp;".")-1)</f>
        <v/>
      </c>
    </row>
    <row r="60" ht="22.35" customHeight="1" s="21">
      <c r="A60" s="95" t="inlineStr">
        <is>
          <t>AP-0.9.7</t>
        </is>
      </c>
      <c r="B60" s="96" t="inlineStr">
        <is>
          <t>AP-0.9</t>
        </is>
      </c>
      <c r="C60" s="96" t="inlineStr">
        <is>
          <t>Dois aparelhos no mesmo barramento (driver e painel oficiais)</t>
        </is>
      </c>
      <c r="D60" s="96" t="inlineStr">
        <is>
          <t>Um nub, um device e um FWEngine2 por GUID; dois dispositivos no CoreAudio (4/6 e 16/12); banda 400 + 976 B/ciclo a 48 kHz; painel com uma janela, menu Device "unit n – nome" ⌘n e imagens por unidade; trocar de unidade não escreve nada no driver; helper guarda configurações por GUID (nunca apaga).</t>
        </is>
      </c>
      <c r="E60" s="96" t="inlineStr">
        <is>
          <t>Não</t>
        </is>
      </c>
      <c r="F60" s="96" t="inlineStr">
        <is>
          <t>Sim</t>
        </is>
      </c>
      <c r="G60" s="96" t="inlineStr">
        <is>
          <t>Nenhum</t>
        </is>
      </c>
      <c r="H60" s="96" t="inlineStr">
        <is>
          <t>Parcial</t>
        </is>
      </c>
      <c r="I60" s="96" t="inlineStr">
        <is>
          <t>captura 94 (ioreg, slhal.py, telas, DTrace, plists)</t>
        </is>
      </c>
      <c r="J60" s="96">
        <f>IF(TRIM(I60)="",0,LEN(I60)-LEN(SUBSTITUTE(I60,";",""))+1)</f>
        <v/>
      </c>
      <c r="K60" s="96" t="inlineStr">
        <is>
          <t>Consistente</t>
        </is>
      </c>
      <c r="L60" s="97">
        <f>ROUND(IF(H60="Sim",MIN(Legenda!$C$12,MIN(10,IF(E60="Sim",Legenda!$C$4,IF(E60="Parcial",Legenda!$C$5,0))+IF(F60="Sim",Legenda!$C$6,IF(F60="Parcial",Legenda!$C$7,0))+IF(G60="otool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binário"),Legenda!$C$9,0))+MIN(Legenda!$C$11,MAX(0,J60-1)*Legenda!$C$10))),IF(H60="Parcial",MIN(Legenda!$C$13,MIN(10,IF(E60="Sim",Legenda!$C$4,IF(E60="Parcial",Legenda!$C$5,0))+IF(F60="Sim",Legenda!$C$6,IF(F60="Parcial",Legenda!$C$7,0))+IF(G60="otool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binário"),Legenda!$C$9,0))+MIN(Legenda!$C$11,MAX(0,J60-1)*Legenda!$C$10)))),1)</f>
        <v/>
      </c>
      <c r="M60" s="96" t="inlineStr">
        <is>
          <t>B5-sl-dtrace-truth/captures/94-sl-two-units-audiophile-1814/README.md</t>
        </is>
      </c>
      <c r="N60" s="96" t="inlineStr">
        <is>
          <t>—</t>
        </is>
      </c>
      <c r="O60" s="96" t="inlineStr">
        <is>
          <t>[2026-10-19] R93. Hipótese: numeração das unidades pela ordem de descoberta.</t>
        </is>
      </c>
      <c r="P60" s="96">
        <f>LEFT(A60,FIND(".",A60&amp;".")-1)</f>
        <v/>
      </c>
    </row>
    <row r="61" ht="22.35" customHeight="1" s="21"/>
    <row r="62" ht="22.35" customHeight="1" s="21"/>
    <row r="63" ht="22.35" customHeight="1" s="21"/>
    <row r="64" ht="22.35" customHeight="1" s="21"/>
    <row r="65" ht="22.35" customHeight="1" s="21"/>
    <row r="66" ht="22.35" customHeight="1" s="21"/>
    <row r="67" ht="32.8" customHeight="1" s="21"/>
    <row r="68" ht="43.25" customHeight="1" s="21"/>
    <row r="69" ht="22.35" customHeight="1" s="21"/>
    <row r="70" ht="22.35" customHeight="1" s="21"/>
    <row r="71" ht="22.35" customHeight="1" s="21"/>
    <row r="72" ht="22.35" customHeight="1" s="21"/>
    <row r="73" ht="22.35" customHeight="1" s="21"/>
    <row r="74" ht="15" customHeight="1" s="21"/>
    <row r="75" ht="32.8" customHeight="1" s="21"/>
    <row r="76" ht="22.35" customHeight="1" s="21"/>
    <row r="77" ht="22.35" customHeight="1" s="21"/>
    <row r="78" ht="22.35" customHeight="1" s="21"/>
    <row r="79" ht="22.35" customHeight="1" s="21"/>
    <row r="80" ht="15" customHeight="1" s="21"/>
    <row r="81" ht="22.35" customHeight="1" s="21"/>
    <row r="82" ht="32.8" customHeight="1" s="21"/>
    <row r="83" ht="22.35" customHeight="1" s="21"/>
    <row r="84" ht="32.8" customHeight="1" s="21"/>
    <row r="85" ht="22.35" customHeight="1" s="21"/>
    <row r="86" ht="22.35" customHeight="1" s="21"/>
    <row r="87" ht="22.35" customHeight="1" s="21"/>
    <row r="88" ht="22.35" customHeight="1" s="21"/>
    <row r="89" ht="22.35" customHeight="1" s="21"/>
    <row r="90" ht="22.35" customHeight="1" s="21"/>
    <row r="91" ht="15" customHeight="1" s="21"/>
    <row r="92" ht="15" customHeight="1" s="21"/>
    <row r="93" ht="22.35" customHeight="1" s="21"/>
    <row r="94" ht="22.35" customHeight="1" s="21"/>
    <row r="95" ht="15" customHeight="1" s="21"/>
    <row r="96" ht="22.35" customHeight="1" s="21"/>
    <row r="97" ht="22.35" customHeight="1" s="21"/>
    <row r="98" ht="22.35" customHeight="1" s="21"/>
    <row r="99" ht="15" customHeight="1" s="21"/>
    <row r="100" ht="32.8" customHeight="1" s="21"/>
    <row r="101" ht="22.35" customHeight="1" s="21"/>
    <row r="102" ht="22.35" customHeight="1" s="21"/>
    <row r="103" ht="22.35" customHeight="1" s="21"/>
    <row r="104" ht="15" customHeight="1" s="21"/>
    <row r="105" ht="22.35" customHeight="1" s="21"/>
    <row r="106" ht="22.35" customHeight="1" s="21"/>
    <row r="107" ht="22.35" customHeight="1" s="21"/>
    <row r="108" ht="22.35" customHeight="1" s="21"/>
    <row r="109" ht="22.35" customHeight="1" s="21"/>
    <row r="110" ht="22.35" customHeight="1" s="21"/>
    <row r="111" ht="15" customHeight="1" s="21"/>
    <row r="112" ht="32.8" customHeight="1" s="21"/>
    <row r="113" ht="22.35" customHeight="1" s="21"/>
    <row r="114" ht="22.35" customHeight="1" s="21"/>
    <row r="115" ht="22.35" customHeight="1" s="21"/>
    <row r="116" ht="22.35" customHeight="1" s="21"/>
    <row r="117" ht="22.35" customHeight="1" s="21"/>
    <row r="118" ht="22.35" customHeight="1" s="21"/>
    <row r="119" ht="15" customHeight="1" s="21"/>
    <row r="120" ht="22.35" customHeight="1" s="21"/>
    <row r="121" ht="22.35" customHeight="1" s="21"/>
    <row r="122" ht="15" customHeight="1" s="21"/>
    <row r="123" ht="15" customHeight="1" s="21"/>
    <row r="124" ht="22.35" customHeight="1" s="21"/>
    <row r="125" ht="22.35" customHeight="1" s="21"/>
    <row r="126" ht="22.35" customHeight="1" s="21"/>
    <row r="127" ht="22.35" customHeight="1" s="21"/>
    <row r="128" ht="22.35" customHeight="1" s="21"/>
    <row r="129" ht="22.35" customHeight="1" s="21"/>
    <row r="130" ht="22.35" customHeight="1" s="21"/>
    <row r="131" ht="22.35" customHeight="1" s="21"/>
    <row r="132" ht="22.35" customHeight="1" s="21"/>
    <row r="184" s="21"/>
    <row r="185" s="21"/>
    <row r="186" s="21"/>
    <row r="187" s="21"/>
    <row r="188" s="21"/>
    <row r="189" s="21"/>
    <row r="190" s="21"/>
    <row r="191" s="21"/>
    <row r="192" s="21"/>
    <row r="193" s="21"/>
    <row r="194" s="21"/>
    <row r="195" s="21"/>
  </sheetData>
  <autoFilter ref="A1:P60"/>
  <conditionalFormatting sqref="K2:K500">
    <cfRule type="cellIs" priority="1" operator="equal" dxfId="15">
      <formula>"Correção pendente (audit)"</formula>
    </cfRule>
    <cfRule type="cellIs" priority="2" operator="equal" dxfId="14">
      <formula>"Aberto / não resolvido"</formula>
    </cfRule>
    <cfRule type="cellIs" priority="3" operator="equal" dxfId="13">
      <formula>"Consistente"</formula>
    </cfRule>
  </conditionalFormatting>
  <conditionalFormatting sqref="H2:H500">
    <cfRule type="cellIs" priority="4" operator="equal" dxfId="15">
      <formula>"Sim"</formula>
    </cfRule>
  </conditionalFormatting>
  <conditionalFormatting sqref="L2:L500">
    <cfRule type="dataBar" priority="5">
      <dataBar>
        <cfvo type="num" val="0"/>
        <cfvo type="num" val="10"/>
        <color rgb="005B9BD5"/>
      </dataBar>
    </cfRule>
  </conditionalFormatting>
  <dataValidations count="5">
    <dataValidation sqref="E2:E500" showDropDown="0" showInputMessage="0" showErrorMessage="0" allowBlank="1" type="list">
      <formula1>"Sim,Parcial,Não"</formula1>
    </dataValidation>
    <dataValidation sqref="F2:F500" showDropDown="0" showInputMessage="0" showErrorMessage="0" allowBlank="1" type="list">
      <formula1>"Sim,Parcial,Não"</formula1>
    </dataValidation>
    <dataValidation sqref="H2:H500" showDropDown="0" showInputMessage="0" showErrorMessage="0" allowBlank="1" type="list">
      <formula1>"Sim,Parcial,Não"</formula1>
    </dataValidation>
    <dataValidation sqref="G2:G500" showDropDown="0" showInputMessage="0" showErrorMessage="0" allowBlank="1" type="list">
      <formula1>"otool + Ghidra,otool,Ghidra,Outro binário,Nenhum"</formula1>
    </dataValidation>
    <dataValidation sqref="K2:K500" showDropDown="0" showInputMessage="0" showErrorMessage="0" allowBlank="1" type="list">
      <formula1>"Consistente,Corrigido 2026-10-19,Correção pendente (audit),Aberto / não resolvido,Não auditado"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8" customWidth="1" style="21" min="2" max="2"/>
    <col width="60" customWidth="1" style="21" min="3" max="3"/>
    <col width="60" customWidth="1" style="21" min="4" max="4"/>
    <col width="22" customWidth="1" style="21" min="5" max="5"/>
    <col width="26" customWidth="1" style="21" min="6" max="6"/>
    <col width="20" customWidth="1" style="21" min="7" max="7"/>
    <col width="22" customWidth="1" style="21" min="8" max="8"/>
    <col width="34" customWidth="1" style="21" min="9" max="9"/>
  </cols>
  <sheetData>
    <row r="1">
      <c r="A1" s="85" t="inlineStr">
        <is>
          <t>ID</t>
        </is>
      </c>
      <c r="B1" s="85" t="inlineStr">
        <is>
          <t>Pacote</t>
        </is>
      </c>
      <c r="C1" s="85" t="inlineStr">
        <is>
          <t>Tarefa</t>
        </is>
      </c>
      <c r="D1" s="85" t="inlineStr">
        <is>
          <t>Critério de aceite (teste)</t>
        </is>
      </c>
      <c r="E1" s="85" t="inlineStr">
        <is>
          <t>Depende de</t>
        </is>
      </c>
      <c r="F1" s="85" t="inlineStr">
        <is>
          <t>Status</t>
        </is>
      </c>
      <c r="G1" s="85" t="inlineStr">
        <is>
          <t>Quem</t>
        </is>
      </c>
      <c r="H1" s="85" t="inlineStr">
        <is>
          <t>Fonte no plano</t>
        </is>
      </c>
      <c r="I1" s="85" t="inlineStr">
        <is>
          <t>Notas</t>
        </is>
      </c>
    </row>
    <row r="2">
      <c r="A2" s="95" t="inlineStr">
        <is>
          <t>DEC-Q1</t>
        </is>
      </c>
      <c r="B2" s="96" t="inlineStr">
        <is>
          <t>Decisão</t>
        </is>
      </c>
      <c r="C2" s="96" t="inlineStr">
        <is>
          <t>Q1: confirmar uma árvore nova openaudio-mafw-bebob/ com 1814 + Audiophile</t>
        </is>
      </c>
      <c r="D2" s="96" t="inlineStr">
        <is>
          <t>Resposta registrada no plano §9</t>
        </is>
      </c>
      <c r="E2" s="96" t="inlineStr">
        <is>
          <t>—</t>
        </is>
      </c>
      <c r="F2" s="96" t="inlineStr">
        <is>
          <t>Concluído</t>
        </is>
      </c>
      <c r="G2" s="96" t="inlineStr">
        <is>
          <t>Você</t>
        </is>
      </c>
      <c r="H2" s="96" t="inlineStr">
        <is>
          <t>BUILD_AUDIOPHILE_PLAN_v2 §9 Q1</t>
        </is>
      </c>
      <c r="I2" s="96" t="inlineStr">
        <is>
          <t>[2026-10-19] Um driver para os dois modelos (árvore openaudio-mafw-bebob/).</t>
        </is>
      </c>
    </row>
    <row r="3">
      <c r="A3" s="95" t="inlineStr">
        <is>
          <t>DEC-Q2</t>
        </is>
      </c>
      <c r="B3" s="96" t="inlineStr">
        <is>
          <t>Decisão</t>
        </is>
      </c>
      <c r="C3" s="96" t="inlineStr">
        <is>
          <t>Q2: nome do produto, bundle ids, prefixo de classe</t>
        </is>
      </c>
      <c r="D3" s="96" t="inlineStr">
        <is>
          <t>Resposta registrada no plano §9</t>
        </is>
      </c>
      <c r="E3" s="96" t="inlineStr">
        <is>
          <t>—</t>
        </is>
      </c>
      <c r="F3" s="96" t="inlineStr">
        <is>
          <t>Concluído</t>
        </is>
      </c>
      <c r="G3" s="96" t="inlineStr">
        <is>
          <t>Você</t>
        </is>
      </c>
      <c r="H3" s="96" t="inlineStr">
        <is>
          <t>BUILD_AUDIOPHILE_PLAN_v2 §9 Q2</t>
        </is>
      </c>
      <c r="I3" s="96" t="inlineStr">
        <is>
          <t>[2026-10-19] Nome "OpenAudio BeBoB MAFW" (sem marca no nome); bundle id com.openaudio.OpenAudioBeBoBMAFW; prefixo de classe com_openaudio_.</t>
        </is>
      </c>
    </row>
    <row r="4">
      <c r="A4" s="95" t="inlineStr">
        <is>
          <t>DEC-Q3</t>
        </is>
      </c>
      <c r="B4" s="96" t="inlineStr">
        <is>
          <t>Decisão</t>
        </is>
      </c>
      <c r="C4" s="96" t="inlineStr">
        <is>
          <t>Q3: versão do novo produto; 0.1.0 continua o padrão público até o AP-8.1?</t>
        </is>
      </c>
      <c r="D4" s="96" t="inlineStr">
        <is>
          <t>Resposta registrada</t>
        </is>
      </c>
      <c r="E4" s="96" t="inlineStr">
        <is>
          <t>—</t>
        </is>
      </c>
      <c r="F4" s="96" t="inlineStr">
        <is>
          <t>Concluído</t>
        </is>
      </c>
      <c r="G4" s="96" t="inlineStr">
        <is>
          <t>Você</t>
        </is>
      </c>
      <c r="H4" s="96" t="inlineStr">
        <is>
          <t>BUILD_AUDIOPHILE_PLAN_v2 §9 Q3</t>
        </is>
      </c>
      <c r="I4" s="96" t="inlineStr">
        <is>
          <t>[2026-10-19] Versão 0.2.0; 0.1.0 continua o download público até passar as escadas do 1814 e do Audiophile.</t>
        </is>
      </c>
    </row>
    <row r="5">
      <c r="A5" s="95" t="inlineStr">
        <is>
          <t>DEC-Q4</t>
        </is>
      </c>
      <c r="B5" s="96" t="inlineStr">
        <is>
          <t>Decisão</t>
        </is>
      </c>
      <c r="C5" s="96" t="inlineStr">
        <is>
          <t>Q4: sessão no rig SL para o AP-0.9; máquina do primeiro load; 1814 desligado na fase 7?</t>
        </is>
      </c>
      <c r="D5" s="96" t="inlineStr">
        <is>
          <t>Resposta registrada</t>
        </is>
      </c>
      <c r="E5" s="96" t="inlineStr">
        <is>
          <t>—</t>
        </is>
      </c>
      <c r="F5" s="96" t="inlineStr">
        <is>
          <t>Concluído</t>
        </is>
      </c>
      <c r="G5" s="96" t="inlineStr">
        <is>
          <t>Você</t>
        </is>
      </c>
      <c r="H5" s="96" t="inlineStr">
        <is>
          <t>BUILD_AUDIOPHILE_PLAN_v2 §9 Q4</t>
        </is>
      </c>
      <c r="I5" s="96" t="inlineStr">
        <is>
          <t>[2026-10-19] Audiophile já está no rig SL (ioreg via SSH). [2026-10-19] Rig SL usado nesta sessão (captures 91–93); máquina do primeiro load ainda a decidir no plano v3. [2026-10-19] Primeiro load com o Audiophile: iMac (build PC = máquina de laboratório/teste).</t>
        </is>
      </c>
    </row>
    <row r="6">
      <c r="A6" s="95" t="inlineStr">
        <is>
          <t>DEC-Q5</t>
        </is>
      </c>
      <c r="B6" s="96" t="inlineStr">
        <is>
          <t>Decisão</t>
        </is>
      </c>
      <c r="C6" s="96" t="inlineStr">
        <is>
          <t>Q5: idioma das telas do painel (inglês como hoje?)</t>
        </is>
      </c>
      <c r="D6" s="96" t="inlineStr">
        <is>
          <t>Resposta registrada</t>
        </is>
      </c>
      <c r="E6" s="96" t="inlineStr">
        <is>
          <t>—</t>
        </is>
      </c>
      <c r="F6" s="96" t="inlineStr">
        <is>
          <t>Concluído</t>
        </is>
      </c>
      <c r="G6" s="96" t="inlineStr">
        <is>
          <t>Você</t>
        </is>
      </c>
      <c r="H6" s="96" t="inlineStr">
        <is>
          <t>BUILD_AUDIOPHILE_PLAN_v2 §9 Q5</t>
        </is>
      </c>
      <c r="I6" s="96" t="inlineStr">
        <is>
          <t>[2026-10-19] Resposta: inglês.</t>
        </is>
      </c>
    </row>
    <row r="7">
      <c r="A7" s="95" t="inlineStr">
        <is>
          <t>AP-0.1</t>
        </is>
      </c>
      <c r="B7" s="96" t="inlineStr">
        <is>
          <t>0</t>
        </is>
      </c>
      <c r="C7" s="96" t="inlineStr">
        <is>
          <t>FWMetaNub::probe + GetActualProductName + kDeviceSpecs; transições bootloader/runtime</t>
        </is>
      </c>
      <c r="D7" s="96" t="inlineStr">
        <is>
          <t>Nota no system-map; desenho do nub do clone confere</t>
        </is>
      </c>
      <c r="E7" s="96" t="inlineStr">
        <is>
          <t>—</t>
        </is>
      </c>
      <c r="F7" s="96" t="inlineStr">
        <is>
          <t>Concluído</t>
        </is>
      </c>
      <c r="G7" s="96" t="inlineStr">
        <is>
          <t>Claude</t>
        </is>
      </c>
      <c r="H7" s="96" t="inlineStr">
        <is>
          <t>BUILD_AUDIOPHILE_PLAN_v2 AP-0.1</t>
        </is>
      </c>
      <c r="I7" s="96" t="inlineStr">
        <is>
          <t>[2026-10-19] Tabela de 8 entradas lida nos bytes; probe/start/probe do device decompilados; clone já espelha as regras. Falta escrever a nota. [2026-10-19] Nota Q-AP0 §1 escrita; R77; Corrections no reference. Único aberto: Model_ID do bootloader (vai para AP-7.1).</t>
        </is>
      </c>
    </row>
    <row r="8">
      <c r="A8" s="95" t="inlineStr">
        <is>
          <t>AP-0.2</t>
        </is>
      </c>
      <c r="B8" s="96" t="inlineStr">
        <is>
          <t>0</t>
        </is>
      </c>
      <c r="C8" s="96" t="inlineStr">
        <is>
          <t>FWRev2AudioDevice (34 métodos) vs Rev1: 0x2F, AVCSetupSyncStream, GetAddressAndPlugForSyncType, initHardware, AllocateAudioEngine, pacotes de controle</t>
        </is>
      </c>
      <c r="D8" s="96" t="inlineStr">
        <is>
          <t>Q-doc com layouts de bytes; tabela Rev1 vs Rev2</t>
        </is>
      </c>
      <c r="E8" s="96" t="inlineStr">
        <is>
          <t>—</t>
        </is>
      </c>
      <c r="F8" s="96" t="inlineStr">
        <is>
          <t>Concluído</t>
        </is>
      </c>
      <c r="G8" s="96" t="inlineStr">
        <is>
          <t>Claude</t>
        </is>
      </c>
      <c r="H8" s="96" t="inlineStr">
        <is>
          <t>BUILD_AUDIOPHILE_PLAN_v2 AP-0.2</t>
        </is>
      </c>
      <c r="I8" s="96" t="inlineStr">
        <is>
          <t>[2026-10-19] Todos os métodos decompilados; 4 erros no Q16 (flags AUD-AP-01..04). Falta: asm de 0x12e7e e 0xb9d4. [2026-10-19] Q-AP0 §2 (asm de 0x2F, 0x1A, clock, latências; vtable lida; FFADO conferido); R77; 4 Corrections no Q16, 1 no Q10. Aberto à parte: latência v1.9 (AP-0.9.2).</t>
        </is>
      </c>
    </row>
    <row r="9">
      <c r="A9" s="95" t="inlineStr">
        <is>
          <t>AP-0.3</t>
        </is>
      </c>
      <c r="B9" s="96" t="inlineStr">
        <is>
          <t>0</t>
        </is>
      </c>
      <c r="C9" s="96" t="inlineStr">
        <is>
          <t>Classes de settings (ABSwitch, RotaryControl, AuxSend, Levels, TRotaryControl) e chamadores de AVCControlFunctionBlock: bytes AV/C exatos, estado inicial, ordem</t>
        </is>
      </c>
      <c r="D9" s="96" t="inlineStr">
        <is>
          <t>Q-FWAP-avc-mixer.md; cruzado com ctl-services normal.rs e FFADO</t>
        </is>
      </c>
      <c r="E9" s="96" t="inlineStr">
        <is>
          <t>AP-0.2</t>
        </is>
      </c>
      <c r="F9" s="96" t="inlineStr">
        <is>
          <t>Concluído</t>
        </is>
      </c>
      <c r="G9" s="96" t="inlineStr">
        <is>
          <t>Claude</t>
        </is>
      </c>
      <c r="H9" s="96" t="inlineStr">
        <is>
          <t>BUILD_AUDIOPHILE_PLAN_v2 AP-0.3</t>
        </is>
      </c>
      <c r="I9" s="96" t="inlineStr">
        <is>
          <t>[2026-10-19] Q-AP0c escrito (R79): 4 quadros AV/C, mapa de function blocks, tabela de rotas, chaves e grupos, estado de fábrica, mapa de reuso. Abertos rotulados: 0.3.5–0.3.8.</t>
        </is>
      </c>
    </row>
    <row r="10">
      <c r="A10" s="95" t="inlineStr">
        <is>
          <t>AP-0.4</t>
        </is>
      </c>
      <c r="B10" s="96" t="inlineStr">
        <is>
          <t>0</t>
        </is>
      </c>
      <c r="C10" s="96" t="inlineStr">
        <is>
          <t>Comando vendor do LED e argumento de AVCSetupSyncStream</t>
        </is>
      </c>
      <c r="D10" s="96" t="inlineStr">
        <is>
          <t>Nota</t>
        </is>
      </c>
      <c r="E10" s="96" t="inlineStr">
        <is>
          <t>AP-0.2</t>
        </is>
      </c>
      <c r="F10" s="96" t="inlineStr">
        <is>
          <t>Concluído</t>
        </is>
      </c>
      <c r="G10" s="96" t="inlineStr">
        <is>
          <t>Claude</t>
        </is>
      </c>
      <c r="H10" s="96" t="inlineStr">
        <is>
          <t>BUILD_AUDIOPHILE_PLAN_v2 AP-0.4</t>
        </is>
      </c>
      <c r="I10" s="96" t="inlineStr">
        <is>
          <t>[2026-10-19] Argumento resolvido: tipo 0 (interno) ou 4 (S/PDIF), plug 1. LED ainda aberto. [2026-10-19] Q-AP0b escrito (R78): polling 50 ms, pacote de 60 B no asm, encoders, A/B, LED (16 B vendor), tudo igual ao ctl-services/snd-bebob. Itens novos 0.4.6–0.4.8.</t>
        </is>
      </c>
    </row>
    <row r="11">
      <c r="A11" s="95" t="inlineStr">
        <is>
          <t>AP-0.5</t>
        </is>
      </c>
      <c r="B11" s="96" t="inlineStr">
        <is>
          <t>0</t>
        </is>
      </c>
      <c r="C11" s="96" t="inlineStr">
        <is>
          <t>Layout completo do FWAudiophileDevice e grupos $_667</t>
        </is>
      </c>
      <c r="D11" s="96" t="inlineStr">
        <is>
          <t>Tabela de layout</t>
        </is>
      </c>
      <c r="E11" s="96" t="inlineStr">
        <is>
          <t>—</t>
        </is>
      </c>
      <c r="F11" s="96" t="inlineStr">
        <is>
          <t>Concluído</t>
        </is>
      </c>
      <c r="G11" s="96" t="inlineStr">
        <is>
          <t>Claude</t>
        </is>
      </c>
      <c r="H11" s="96" t="inlineStr">
        <is>
          <t>BUILD_AUDIOPHILE_PLAN_v2 AP-0.5</t>
        </is>
      </c>
      <c r="I11" s="96" t="inlineStr">
        <is>
          <t>[2026-10-19] Seis offsets confirmados por ReadHSCIData. [2026-10-19] Layout completo (R81) em Q-AP0 §4; slots de vtable lidos; reenvio do clock identificado.</t>
        </is>
      </c>
    </row>
    <row r="12">
      <c r="A12" s="95" t="inlineStr">
        <is>
          <t>AP-0.6</t>
        </is>
      </c>
      <c r="B12" s="96" t="inlineStr">
        <is>
          <t>0</t>
        </is>
      </c>
      <c r="C12" s="96" t="inlineStr">
        <is>
          <t>Subconjunto de chaves MA* do Audiophile e a visão CXAudiophileDevice do painel</t>
        </is>
      </c>
      <c r="D12" s="96" t="inlineStr">
        <is>
          <t>PNAP-control-key-map.md</t>
        </is>
      </c>
      <c r="E12" s="96" t="inlineStr">
        <is>
          <t>AP-0.9</t>
        </is>
      </c>
      <c r="F12" s="96" t="inlineStr">
        <is>
          <t>Concluído</t>
        </is>
      </c>
      <c r="G12" s="96" t="inlineStr">
        <is>
          <t>Claude</t>
        </is>
      </c>
      <c r="H12" s="96" t="inlineStr">
        <is>
          <t>BUILD_AUDIOPHILE_PLAN_v2 AP-0.6</t>
        </is>
      </c>
      <c r="I12" s="96" t="inlineStr">
        <is>
          <t>[2026-10-19] 14 chaves da captura 90 decodificadas. [2026-10-19] PNAP-control-key-map.md (R82): FWDJ = Audiophile, tradutor, cookies, defaults do painel; visual das telas fica para o AP-0.9.</t>
        </is>
      </c>
    </row>
    <row r="13">
      <c r="A13" s="95" t="inlineStr">
        <is>
          <t>AP-0.7</t>
        </is>
      </c>
      <c r="B13" s="96" t="inlineStr">
        <is>
          <t>0</t>
        </is>
      </c>
      <c r="C13" s="96" t="inlineStr">
        <is>
          <t>Conversores e proc de pico (_SamplePeaks6); mapeamento de 6 picos</t>
        </is>
      </c>
      <c r="D13" s="96" t="inlineStr">
        <is>
          <t>Nota; C pronto para portar</t>
        </is>
      </c>
      <c r="E13" s="96" t="inlineStr">
        <is>
          <t>—</t>
        </is>
      </c>
      <c r="F13" s="96" t="inlineStr">
        <is>
          <t>Concluído</t>
        </is>
      </c>
      <c r="G13" s="96" t="inlineStr">
        <is>
          <t>Claude</t>
        </is>
      </c>
      <c r="H13" s="96" t="inlineStr">
        <is>
          <t>BUILD_AUDIOPHILE_PLAN_v2 AP-0.7</t>
        </is>
      </c>
      <c r="I13" s="96" t="inlineStr">
        <is>
          <t>[2026-10-19] Q-AP0d escrito (R80): conversores confirmados no asm; mapa físico continua para o hardware.</t>
        </is>
      </c>
    </row>
    <row r="14">
      <c r="A14" s="95" t="inlineStr">
        <is>
          <t>AP-0.8</t>
        </is>
      </c>
      <c r="B14" s="96" t="inlineStr">
        <is>
          <t>0</t>
        </is>
      </c>
      <c r="C14" s="96" t="inlineStr">
        <is>
          <t>Arquivar decompiles; /close-item com R-entries (inclui capturas 89/89b/90)</t>
        </is>
      </c>
      <c r="D14" s="96" t="inlineStr">
        <is>
          <t>R-entries, linhas nesta matriz</t>
        </is>
      </c>
      <c r="E14" s="96" t="inlineStr">
        <is>
          <t>AP-0.1..0.7</t>
        </is>
      </c>
      <c r="F14" s="96" t="inlineStr">
        <is>
          <t>Em andamento</t>
        </is>
      </c>
      <c r="G14" s="96" t="inlineStr">
        <is>
          <t>Claude</t>
        </is>
      </c>
      <c r="H14" s="96" t="inlineStr">
        <is>
          <t>BUILD_AUDIOPHILE_PLAN_v2 AP-0.8</t>
        </is>
      </c>
      <c r="I14" s="96" t="inlineStr">
        <is>
          <t>[2026-10-19] 141 decompiles novos (tag ap0) em decomp/. [2026-10-19] Decompiles filed (ap0); R77–R83 registrados; helper/firmware/MIDI mapeados (HAP).</t>
        </is>
      </c>
    </row>
    <row r="15">
      <c r="A15" s="95" t="inlineStr">
        <is>
          <t>AP-0.9</t>
        </is>
      </c>
      <c r="B15" s="96" t="inlineStr">
        <is>
          <t>0</t>
        </is>
      </c>
      <c r="C15" s="96" t="inlineStr">
        <is>
          <t>Capturas no rig SL com o Audiophile: (a) cada controle; (b) ioreg nas 4 taxas; (c) padrões de fábrica; (d) KIPC A/B + encoders; (e) página de picos; (f) mixer sem streaming; (g) firmware</t>
        </is>
      </c>
      <c r="D15" s="96" t="inlineStr">
        <is>
          <t>Capturas 91+; PNAP preenchido</t>
        </is>
      </c>
      <c r="E15" s="96" t="inlineStr">
        <is>
          <t>DEC-Q4</t>
        </is>
      </c>
      <c r="F15" s="96" t="inlineStr">
        <is>
          <t>Concluído</t>
        </is>
      </c>
      <c r="G15" s="96" t="inlineStr">
        <is>
          <t>Claude + Você no rig</t>
        </is>
      </c>
      <c r="H15" s="96" t="inlineStr">
        <is>
          <t>BUILD_AUDIOPHILE_PLAN_v2 AP-0.9</t>
        </is>
      </c>
      <c r="I15" s="96" t="inlineStr">
        <is>
          <t>[2026-10-19] (g)+telas: captura 91 feita por mim no rig (abas e vistas). Faltam os controles um a um, fábrica, ioreg nas 4 taxas, mixer sem streaming. [2026-10-19] Feito por mim no rig: (a) controles um a um, (b) ioreg nas 4 taxas, (c) reset de fábrica (0 dB) e restauração, (g)+telas. Falta: (f) teste de ouvido do mixer sem streaming; leituras somente-leitura (janela de status, EXTENDED PLUG INFO). [2026-10-19] Rig: telas (91), controles/taxas/reset (92), janela de status (93). Teste de ouvido cancelado pelo usuário; ordem de canais vai para o AP-7.3 via EXTENDED PLUG INFO do nosso driver.</t>
        </is>
      </c>
    </row>
    <row r="16">
      <c r="A16" s="95" t="inlineStr">
        <is>
          <t>AP-1.1</t>
        </is>
      </c>
      <c r="B16" s="96" t="inlineStr">
        <is>
          <t>1</t>
        </is>
      </c>
      <c r="C16" s="96" t="inlineStr">
        <is>
          <t>Copiar a árvore 1814 para openaudio-mafw-bebob/; produto OpenAudio BeBoB MAFW / com.openaudio.OpenAudioBeBoBMAFW / 0.2.0</t>
        </is>
      </c>
      <c r="D16" s="96" t="inlineStr">
        <is>
          <t>Compila no iMac; git diff main -- openaudio-fw1814 vazio</t>
        </is>
      </c>
      <c r="E16" s="96" t="inlineStr">
        <is>
          <t>DEC-Q1, DEC-Q2</t>
        </is>
      </c>
      <c r="F16" s="96" t="inlineStr">
        <is>
          <t>Concluído</t>
        </is>
      </c>
      <c r="G16" s="96" t="inlineStr">
        <is>
          <t>Claude</t>
        </is>
      </c>
      <c r="H16" s="96" t="inlineStr">
        <is>
          <t>BUILD_AUDIOPHILE_PLAN_v3 AP-1.1</t>
        </is>
      </c>
      <c r="I16" s="96" t="inlineStr">
        <is>
          <t>[2026-10-19] Árvore copiada (142 arquivos rastreados; sem make-publication-tree.sh e release-notes-0.1.0, que ficam só no 0.1.0); renomeado para OpenAudio BeBoB MAFW / com.openaudio.OpenAudioBeBoBMAFW / com.openaudio.bebobmafw.{helper,panel,pkg,uninstaller}; kext 0.2.0; painel 1.1 (pedido do usuário). Build no iMac em ~/oa-build-mafw: kext, helper e painel OK; testes do painel ALL PASS; typecheck só o mesmo aviso do 0.1.0. git diff main -- openaudio-fw1814 vazio. Nota p/ AP-1.4: mesmas classes C++ do 0.1.0 (com_openaudio_*) → descarregar o 0.1.0 antes de carregar o novo.</t>
        </is>
      </c>
    </row>
    <row r="17">
      <c r="A17" s="95" t="inlineStr">
        <is>
          <t>AP-1.2</t>
        </is>
      </c>
      <c r="B17" s="96" t="inlineStr">
        <is>
          <t>1</t>
        </is>
      </c>
      <c r="C17" s="96" t="inlineStr">
        <is>
          <t>Scripts parametrizados (~/oa-build-mafw, stage, load-test, install/uninstall, conformance, self-contained)</t>
        </is>
      </c>
      <c r="D17" s="96" t="inlineStr">
        <is>
          <t>Cada um roda contra a árvore nova</t>
        </is>
      </c>
      <c r="E17" s="96" t="inlineStr">
        <is>
          <t>AP-1.1</t>
        </is>
      </c>
      <c r="F17" s="96" t="inlineStr">
        <is>
          <t>Concluído</t>
        </is>
      </c>
      <c r="G17" s="96" t="inlineStr">
        <is>
          <t>Claude</t>
        </is>
      </c>
      <c r="H17" s="96" t="inlineStr">
        <is>
          <t>BUILD_AUDIOPHILE_PLAN_v2 AP-1.2</t>
        </is>
      </c>
      <c r="I17" s="96" t="inlineStr">
        <is>
          <t>[2026-10-19] Scripts: oa-build → oa-build-mafw (sync, make-pkg, make-dmg, build-pkg, smoke test); install/uninstall/load-test tratam a geração 0.1.0 (descarrega e remove com.openaudio.OpenAudioFW1814 + helper com.openaudio.fw1814.helper; restore traz a geração instalada); sintaxe OK; conformance CONFORMANT; sync --build compila no iMac e ~/oa-build intocado (timestamps iguais).</t>
        </is>
      </c>
    </row>
    <row r="18">
      <c r="A18" s="95" t="inlineStr">
        <is>
          <t>AP-1.3</t>
        </is>
      </c>
      <c r="B18" s="96" t="inlineStr">
        <is>
          <t>1</t>
        </is>
      </c>
      <c r="C18" s="96" t="inlineStr">
        <is>
          <t>Build + kextutil -t -n no iMac; sem load</t>
        </is>
      </c>
      <c r="D18" s="96" t="inlineStr">
        <is>
          <t>'appears to be loadable'</t>
        </is>
      </c>
      <c r="E18" s="96" t="inlineStr">
        <is>
          <t>AP-1.2</t>
        </is>
      </c>
      <c r="F18" s="96" t="inlineStr">
        <is>
          <t>Concluído</t>
        </is>
      </c>
      <c r="G18" s="96" t="inlineStr">
        <is>
          <t>Claude</t>
        </is>
      </c>
      <c r="H18" s="96" t="inlineStr">
        <is>
          <t>BUILD_AUDIOPHILE_PLAN_v2 AP-1.3</t>
        </is>
      </c>
      <c r="I18" s="96" t="inlineStr">
        <is>
          <t>[2026-10-19] scripts/stage-kext.sh no iMac: /tmp/OpenAudioBeBoBMAFW.kext "appears to be loadable" (sem assinatura, permitido com SIP desligado); nada carregado; 0.1.0 continua rodando.</t>
        </is>
      </c>
    </row>
    <row r="19">
      <c r="A19" s="95" t="inlineStr">
        <is>
          <t>AP-1.4</t>
        </is>
      </c>
      <c r="B19" s="96" t="inlineStr">
        <is>
          <t>1</t>
        </is>
      </c>
      <c r="C19" s="96" t="inlineStr">
        <is>
          <t>Carregar a cópia renomeada no iMac com o 1814 (kext de teste em /tmp, OK do usuário); loopcheck 34 s</t>
        </is>
      </c>
      <c r="D19" s="96" t="inlineStr">
        <is>
          <t>Igual à captura 88</t>
        </is>
      </c>
      <c r="E19" s="96" t="inlineStr">
        <is>
          <t>AP-1.3</t>
        </is>
      </c>
      <c r="F19" s="96" t="inlineStr">
        <is>
          <t>Concluído</t>
        </is>
      </c>
      <c r="G19" s="96" t="inlineStr">
        <is>
          <t>Claude + Você</t>
        </is>
      </c>
      <c r="H19" s="96" t="inlineStr">
        <is>
          <t>BUILD_AUDIOPHILE_PLAN_v3 AP-1.4</t>
        </is>
      </c>
      <c r="I19" s="96" t="inlineStr">
        <is>
          <t>[2026-10-19] Captura 95 (R94): driver renomeado 0.2.0 carregado no iMac com o 1814; helper novo reaplicou o mix salvo; loopcheck 34 s com sons de sistema: 0 eventos, nível 0.495 (captura 88: 0 / 0.498). 1ª tentativa inválida (entrada não estava em line). 0.1.0 restaurado. Nota: o kext 0.1.0 instalado no iMac é anterior ao R75/R76.</t>
        </is>
      </c>
    </row>
    <row r="20">
      <c r="A20" s="95" t="inlineStr">
        <is>
          <t>AP-2.1</t>
        </is>
      </c>
      <c r="B20" s="96" t="inlineStr">
        <is>
          <t>2</t>
        </is>
      </c>
      <c r="C20" s="96" t="inlineStr">
        <is>
          <t>kDeviceSpecs com 8 linhas; seleção por nome de produto; personalidades do Info.plist por modelo (Q-AP0 §1)</t>
        </is>
      </c>
      <c r="D20" s="96" t="inlineStr">
        <is>
          <t>Registro do 1814 idêntico ao 0.1.0</t>
        </is>
      </c>
      <c r="E20" s="96" t="inlineStr">
        <is>
          <t>AP-1.4, AP-0.1</t>
        </is>
      </c>
      <c r="F20" s="96" t="inlineStr">
        <is>
          <t>Concluído</t>
        </is>
      </c>
      <c r="G20" s="96" t="inlineStr">
        <is>
          <t>Claude</t>
        </is>
      </c>
      <c r="H20" s="96" t="inlineStr">
        <is>
          <t>BUILD_AUDIOPHILE_PLAN_v3 AP-2.1</t>
        </is>
      </c>
      <c r="I20" s="96" t="inlineStr">
        <is>
          <t>[2026-10-19] kDeviceSpecs com as 8 linhas {runtime, bootloader, classe} do oficial; GetActualProductName sem parada antecipada como o oficial. Conformance novo: tabela = bytes do binário @0x46450 (OK). Build + kextutil -t -n OK. Personalidade do Audiophile entra com a classe (AP-3.1); comparação de registro do 1814 fica para o AP-8.1 (regra do avião).</t>
        </is>
      </c>
    </row>
    <row r="21">
      <c r="A21" s="95" t="inlineStr">
        <is>
          <t>AP-2.2</t>
        </is>
      </c>
      <c r="B21" s="96" t="inlineStr">
        <is>
          <t>2</t>
        </is>
      </c>
      <c r="C21" s="96" t="inlineStr">
        <is>
          <t>Re-shape das settings como no oficial: FWSettingsLevels/AuxSend genéricos (caminho AV/C via virtuais do device) + FWSettings1814Levels/AuxSend; responsabilidades do FW1814Mixer nos donos do oficial</t>
        </is>
      </c>
      <c r="D21" s="96" t="inlineStr">
        <is>
          <t>Testes host e conformance do 1814; escritas do mixer do 1814 idênticas byte a byte ao 0.1.0</t>
        </is>
      </c>
      <c r="E21" s="96" t="inlineStr">
        <is>
          <t>AP-2.1</t>
        </is>
      </c>
      <c r="F21" s="96" t="inlineStr">
        <is>
          <t>Concluído</t>
        </is>
      </c>
      <c r="G21" s="96" t="inlineStr">
        <is>
          <t>Claude</t>
        </is>
      </c>
      <c r="H21" s="96" t="inlineStr">
        <is>
          <t>BUILD_AUDIOPHILE_PLAN_v3 AP-2.2</t>
        </is>
      </c>
      <c r="I21" s="96" t="inlineStr">
        <is>
          <t>[2026-10-19] 2026-10-19: reference split restored (FWSettings1814Levels/AuxSend, device virtuals MapChannelAndFunctionBlock/MapRoutingParameters/SetHeadphoneSelector/AVCControlSetLEDStatus, FW1814Mixer removed). Build + kextutil -t -n + conformance OK; hardware check in AP-8.1. Acceptance amended by the user (no write recorder). R95.</t>
        </is>
      </c>
    </row>
    <row r="22">
      <c r="A22" s="95" t="inlineStr">
        <is>
          <t>AP-2.3</t>
        </is>
      </c>
      <c r="B22" s="96" t="inlineStr">
        <is>
          <t>2</t>
        </is>
      </c>
      <c r="C22" s="96" t="inlineStr">
        <is>
          <t>FWRev2AudioDevice: 0x2F, SIGNAL SOURCE + GetAddressAndPlugForSyncType, pacotes de controle Rev2 (FWHSCI compartilhado; 1814 mantém o seu), UpdatePeakMeters, SetBlankSlateClockSource base (Q-AP0 §2, §5)</t>
        </is>
      </c>
      <c r="D22" s="96" t="inlineStr">
        <is>
          <t>Testes de bytes: 0x2F C1/C0, 0x1A STATUS/CONTROL, ordem do blank slate</t>
        </is>
      </c>
      <c r="E22" s="96" t="inlineStr">
        <is>
          <t>AP-0.2</t>
        </is>
      </c>
      <c r="F22" s="96" t="inlineStr">
        <is>
          <t>Concluído</t>
        </is>
      </c>
      <c r="G22" s="96" t="inlineStr">
        <is>
          <t>Claude</t>
        </is>
      </c>
      <c r="H22" s="96" t="inlineStr">
        <is>
          <t>BUILD_AUDIOPHILE_PLAN_v3 AP-2.3</t>
        </is>
      </c>
      <c r="I22" s="96" t="inlineStr">
        <is>
          <t>[2026-10-20] 2026-10-20: FWRev2AudioDevice (0x2F C1/C0, SIGNAL SOURCE + sync table, Rev2 HSCI, peaks, latency), base SetBlankSlateClockSource, Rev1 plug format moved to Rev1. Host test 18/18, build + kextutil -t -n + conformance OK; blank-slate order by code reading. R96.</t>
        </is>
      </c>
    </row>
    <row r="23">
      <c r="A23" s="95" t="inlineStr">
        <is>
          <t>AP-2.4</t>
        </is>
      </c>
      <c r="B23" s="96" t="inlineStr">
        <is>
          <t>2</t>
        </is>
      </c>
      <c r="C23" s="96" t="inlineStr">
        <is>
          <t>Layout do user client por modelo (picos 14+6 na página de 52)</t>
        </is>
      </c>
      <c r="D23" s="96" t="inlineStr">
        <is>
          <t>O painel lê os dois</t>
        </is>
      </c>
      <c r="E23" s="96" t="inlineStr">
        <is>
          <t>AP-2.2</t>
        </is>
      </c>
      <c r="F23" s="96" t="inlineStr">
        <is>
          <t>Concluído</t>
        </is>
      </c>
      <c r="G23" s="96" t="inlineStr">
        <is>
          <t>Claude</t>
        </is>
      </c>
      <c r="H23" s="96" t="inlineStr">
        <is>
          <t>BUILD_AUDIOPHILE_PLAN_v2 AP-2.4</t>
        </is>
      </c>
      <c r="I23" s="96" t="inlineStr">
        <is>
          <t>[2026-10-20] 2026-10-20: meter slots per model (base count = out channels, ref @0xa96c; FW1814 overrides 0x26/0xe). Audiophile slot check moves to AP-3.1. R97.</t>
        </is>
      </c>
    </row>
    <row r="24">
      <c r="A24" s="95" t="inlineStr">
        <is>
          <t>AP-3.1</t>
        </is>
      </c>
      <c r="B24" s="96" t="inlineStr">
        <is>
          <t>3</t>
        </is>
      </c>
      <c r="C24" s="96" t="inlineStr">
        <is>
          <t>FWAudiophileDevice : Rev2 (nomes, taxas, canais, latência, AC-3, índice de picos)</t>
        </is>
      </c>
      <c r="D24" s="96" t="inlineStr">
        <is>
          <t>Testes host contra as tabelas</t>
        </is>
      </c>
      <c r="E24" s="96" t="inlineStr">
        <is>
          <t>AP-2.3</t>
        </is>
      </c>
      <c r="F24" s="96" t="inlineStr">
        <is>
          <t>Concluído</t>
        </is>
      </c>
      <c r="G24" s="96" t="inlineStr">
        <is>
          <t>Claude</t>
        </is>
      </c>
      <c r="H24" s="96" t="inlineStr">
        <is>
          <t>BUILD_AUDIOPHILE_PLAN_v2 AP-3.1</t>
        </is>
      </c>
      <c r="I24" s="96" t="inlineStr">
        <is>
          <t>[2026-10-20] models/FWAudiophile: alias + device, nomes, tabela de canais/taxas (bytes @0x4aaa0/@0x2f720), latência, AC-3 (2,5), pico SW 0xe, pacote 0x3C, SetupAudioEngine; personalidade de referência no plist; conformidade + build + kextutil OK. R99.</t>
        </is>
      </c>
    </row>
    <row r="25">
      <c r="A25" s="95" t="inlineStr">
        <is>
          <t>AP-3.2</t>
        </is>
      </c>
      <c r="B25" s="96" t="inlineStr">
        <is>
          <t>3</t>
        </is>
      </c>
      <c r="C25" s="96" t="inlineStr">
        <is>
          <t>Conversores LLRR4SkipMIDI1 / LLRR6 / SamplePeaks6</t>
        </is>
      </c>
      <c r="D25" s="96" t="inlineStr">
        <is>
          <t>Testes host com quadros de referência</t>
        </is>
      </c>
      <c r="E25" s="96" t="inlineStr">
        <is>
          <t>AP-0.7</t>
        </is>
      </c>
      <c r="F25" s="96" t="inlineStr">
        <is>
          <t>Concluído</t>
        </is>
      </c>
      <c r="G25" s="96" t="inlineStr">
        <is>
          <t>Claude</t>
        </is>
      </c>
      <c r="H25" s="96" t="inlineStr">
        <is>
          <t>BUILD_AUDIOPHILE_PLAN_v2 AP-3.2</t>
        </is>
      </c>
      <c r="I25" s="96" t="inlineStr">
        <is>
          <t>[2026-10-20] Conversores LLRR (entrada [1,3,0,2], saída [0,2,4,1,3,5]) e _SamplePeaks6 na base (genéricos), instalados no SetupAudioEngine do Audiophile; teste host de bytes PASSED. R100.</t>
        </is>
      </c>
    </row>
    <row r="26">
      <c r="A26" s="95" t="inlineStr">
        <is>
          <t>AP-3.3</t>
        </is>
      </c>
      <c r="B26" s="96" t="inlineStr">
        <is>
          <t>3</t>
        </is>
      </c>
      <c r="C26" s="96" t="inlineStr">
        <is>
          <t>Bring-up: CMP plug 0 nos dois sentidos, kick Rev2 em ConnectAudioMIDIChannels, clock via MAClockSource</t>
        </is>
      </c>
      <c r="D26" s="96" t="inlineStr">
        <is>
          <t>Logs (portão de hardware na fase 7)</t>
        </is>
      </c>
      <c r="E26" s="96" t="inlineStr">
        <is>
          <t>AP-2.3</t>
        </is>
      </c>
      <c r="F26" s="96" t="inlineStr">
        <is>
          <t>Concluído</t>
        </is>
      </c>
      <c r="G26" s="96" t="inlineStr">
        <is>
          <t>Claude</t>
        </is>
      </c>
      <c r="H26" s="96" t="inlineStr">
        <is>
          <t>BUILD_AUDIOPHILE_PLAN_v3 AP-3.3</t>
        </is>
      </c>
      <c r="I26" s="96" t="inlineStr">
        <is>
          <t>[2026-10-20] Código pronto: kick de formato pelo device (vt 0xb50; bug corrigido — o clone usava o comando Rev1 para todos), sequência de uma fase para Rev2, relógio do Audiophile (asm 0xb9d4). Falta o critério: logs no hardware (AP-7). R101. [2026-10-20] [2026-10-20] fase 7, Audiophile sozinho no iMac, captura 96, R115: bring-up Rev2 (0x2F, 0x1A, kick) ok.</t>
        </is>
      </c>
    </row>
    <row r="27">
      <c r="A27" s="95" t="inlineStr">
        <is>
          <t>AP-3.4</t>
        </is>
      </c>
      <c r="B27" s="96" t="inlineStr">
        <is>
          <t>3</t>
        </is>
      </c>
      <c r="C27" s="96" t="inlineStr">
        <is>
          <t>ReadHSCIData: picos, lock + FDF (w3/w2), encoders (detentes), botão A/B</t>
        </is>
      </c>
      <c r="D27" s="96" t="inlineStr">
        <is>
          <t>Teste host com pacotes gravados (captura 93)</t>
        </is>
      </c>
      <c r="E27" s="96" t="inlineStr">
        <is>
          <t>AP-0.4</t>
        </is>
      </c>
      <c r="F27" s="96" t="inlineStr">
        <is>
          <t>Concluído</t>
        </is>
      </c>
      <c r="G27" s="96" t="inlineStr">
        <is>
          <t>Claude</t>
        </is>
      </c>
      <c r="H27" s="96" t="inlineStr">
        <is>
          <t>BUILD_AUDIOPHILE_PLAN_v3 AP-3.4</t>
        </is>
      </c>
      <c r="I27" s="96" t="inlineStr">
        <is>
          <t>[2026-10-20] ReadHSCIData do Audiophile: picos 0-13, SW 14-19, lock/FDF, dois encoders, botão A/B; decodificação pura testada com as palavras da captura 93 + casos sintéticos (13/13). Encoder físico 1/2: AP-7.7. R102.</t>
        </is>
      </c>
    </row>
    <row r="28">
      <c r="A28" s="95" t="inlineStr">
        <is>
          <t>AP-3.5</t>
        </is>
      </c>
      <c r="B28" s="96" t="inlineStr">
        <is>
          <t>3</t>
        </is>
      </c>
      <c r="C28" s="96" t="inlineStr">
        <is>
          <t>MapChannelAndFunctionBlock (kinds 0–9), MapRoutingParameters (15 linhas), SetHeadphoneSelector do Audiophile</t>
        </is>
      </c>
      <c r="D28" s="96" t="inlineStr">
        <is>
          <t>Bytes de referência por kind</t>
        </is>
      </c>
      <c r="E28" s="96" t="inlineStr">
        <is>
          <t>AP-0.3</t>
        </is>
      </c>
      <c r="F28" s="96" t="inlineStr">
        <is>
          <t>Concluído</t>
        </is>
      </c>
      <c r="G28" s="96" t="inlineStr">
        <is>
          <t>Claude</t>
        </is>
      </c>
      <c r="H28" s="96" t="inlineStr">
        <is>
          <t>BUILD_AUDIOPHILE_PLAN_v3 AP-3.5</t>
        </is>
      </c>
      <c r="I28" s="96" t="inlineStr">
        <is>
          <t>[2026-10-20] Mapeamento do mixer do Audiophile (tipos 0-9, 15 rotas, seletor de fones, LED) com bytes de referência; registros genéricos FunctionBlockMapping/Routing, AVCControlFunctionBlock e AVCVendorCommand na base; teste host 62/62; tests/host/run.sh (99 verificações). R103.</t>
        </is>
      </c>
    </row>
    <row r="29">
      <c r="A29" s="95" t="inlineStr">
        <is>
          <t>AP-3.6</t>
        </is>
      </c>
      <c r="B29" s="96" t="inlineStr">
        <is>
          <t>3</t>
        </is>
      </c>
      <c r="C29" s="96" t="inlineStr">
        <is>
          <t>InitializeUserSettableProperties (6 grupos, 4 objetos de settings), Resend, ResetToFactorySettings, MAMetaResetToFactorySettings</t>
        </is>
      </c>
      <c r="D29" s="96" t="inlineStr">
        <is>
          <t>Estado de fábrica = plist de reset da captura 92</t>
        </is>
      </c>
      <c r="E29" s="96" t="inlineStr">
        <is>
          <t>AP-0.4</t>
        </is>
      </c>
      <c r="F29" s="96" t="inlineStr">
        <is>
          <t>Concluído</t>
        </is>
      </c>
      <c r="G29" s="96" t="inlineStr">
        <is>
          <t>Claude</t>
        </is>
      </c>
      <c r="H29" s="96" t="inlineStr">
        <is>
          <t>BUILD_AUDIOPHILE_PLAN_v3 AP-3.6</t>
        </is>
      </c>
      <c r="I29" s="96" t="inlineStr">
        <is>
          <t>[2026-10-20] Código pronto: objetos de settings do Audiophile, resend, reset; correção da base (reset do relógio @0x1db4); link=1 no reset confirmado (asm 0x21705, captura 92). Estado de fábrica igual à captura 92 por leitura do código; diff em tempo de execução (maprop allxml + tools/factory-diff.py) na fase 7. R104. [2026-10-20] [2026-10-20] fase 7, Audiophile sozinho no iMac, captura 96, R115: reset de fábrica = captura 92, 34/34 chaves.</t>
        </is>
      </c>
    </row>
    <row r="30">
      <c r="A30" s="95" t="inlineStr">
        <is>
          <t>AP-3.7</t>
        </is>
      </c>
      <c r="B30" s="96" t="inlineStr">
        <is>
          <t>3</t>
        </is>
      </c>
      <c r="C30" s="96" t="inlineStr">
        <is>
          <t>Chave A/B + LEDs, lei de passo do Level Controller (Q-AP0b §3–4, R87)</t>
        </is>
      </c>
      <c r="D30" s="96" t="inlineStr">
        <is>
          <t>Teste host da máquina de estados</t>
        </is>
      </c>
      <c r="E30" s="96" t="inlineStr">
        <is>
          <t>AP-0.9</t>
        </is>
      </c>
      <c r="F30" s="96" t="inlineStr">
        <is>
          <t>Concluído</t>
        </is>
      </c>
      <c r="G30" s="96" t="inlineStr">
        <is>
          <t>Claude</t>
        </is>
      </c>
      <c r="H30" s="96" t="inlineStr">
        <is>
          <t>BUILD_AUDIOPHILE_PLAN_v3 AP-3.7</t>
        </is>
      </c>
      <c r="I30" s="96" t="inlineStr">
        <is>
          <t>[2026-10-20] Lei do painel frontal (passo do Level Controller, A/B, LEDs, bits de monitoração direta) em base/FWFrontPanelLaw.h, usada pelos settings genéricos; teste host 20/20. R105.</t>
        </is>
      </c>
    </row>
    <row r="31">
      <c r="A31" s="95" t="inlineStr">
        <is>
          <t>AP-3.8</t>
        </is>
      </c>
      <c r="B31" s="96" t="inlineStr">
        <is>
          <t>3</t>
        </is>
      </c>
      <c r="C31" s="96" t="inlineStr">
        <is>
          <t>Caminho AC-3</t>
        </is>
      </c>
      <c r="D31" s="96" t="inlineStr">
        <is>
          <t>Decisão registrada</t>
        </is>
      </c>
      <c r="E31" s="96" t="inlineStr">
        <is>
          <t>AP-0.7</t>
        </is>
      </c>
      <c r="F31" s="96" t="inlineStr">
        <is>
          <t>Concluído</t>
        </is>
      </c>
      <c r="G31" s="96" t="inlineStr">
        <is>
          <t>Claude</t>
        </is>
      </c>
      <c r="H31" s="96" t="inlineStr">
        <is>
          <t>BUILD_AUDIOPHILE_PLAN_v2 AP-3.8</t>
        </is>
      </c>
      <c r="I31" s="96" t="inlineStr">
        <is>
          <t>[2026-10-20] Caminho AC-3 genérico confirmado por leitura (formato cac3, slots 2/5 = par S/PDIF na ordem LLRR, sem bypass). Critério (formatos no registry) na fase 7. R106. [2026-10-20] [2026-10-20] fase 7, Audiophile sozinho no iMac, captura 96, R115: 3 formatos cac3 no registro (teste no fio com receiver S/PDIF fica para depois).</t>
        </is>
      </c>
    </row>
    <row r="32">
      <c r="A32" s="95" t="inlineStr">
        <is>
          <t>AP-3.9</t>
        </is>
      </c>
      <c r="B32" s="96" t="inlineStr">
        <is>
          <t>3</t>
        </is>
      </c>
      <c r="C32" s="96" t="inlineStr">
        <is>
          <t>Anel de diagnóstico; teardown seguro com AV/C em voo</t>
        </is>
      </c>
      <c r="D32" s="96" t="inlineStr">
        <is>
          <t>kextunload ×5 no Air</t>
        </is>
      </c>
      <c r="E32" s="96" t="inlineStr">
        <is>
          <t>AP-3.5</t>
        </is>
      </c>
      <c r="F32" s="96" t="inlineStr">
        <is>
          <t>Em andamento</t>
        </is>
      </c>
      <c r="G32" s="96" t="inlineStr">
        <is>
          <t>Claude</t>
        </is>
      </c>
      <c r="H32" s="96" t="inlineStr">
        <is>
          <t>BUILD_AUDIOPHILE_PLAN_v2 AP-3.9</t>
        </is>
      </c>
      <c r="I32" s="96" t="inlineStr">
        <is>
          <t>[2026-10-20] Código pronto: fila AV/C assíncrona segura no teardown (referência na unidade por comando, drenagem + cancel no stop), anel de diagnóstico com lock e traços Rev2. Critério kextunload x5 na fase 7. R107. [2026-10-20] [2026-10-20] captura 97, R117: correção do vazamento de host plug (FreeHostPlugs); unload x5 não executado (decisão do usuário: instalador não descarrega).</t>
        </is>
      </c>
    </row>
    <row r="33">
      <c r="A33" s="95" t="inlineStr">
        <is>
          <t>AP-4.1</t>
        </is>
      </c>
      <c r="B33" s="96" t="inlineStr">
        <is>
          <t>4</t>
        </is>
      </c>
      <c r="C33" s="96" t="inlineStr">
        <is>
          <t>Tabela de produtos no helper + leitor .bcd por offsets (FWAP.bcd: header 0x78, base 0x20080000)</t>
        </is>
      </c>
      <c r="D33" s="96" t="inlineStr">
        <is>
          <t>Teste host nos dois .bcd; CRC ok</t>
        </is>
      </c>
      <c r="E33" s="96" t="inlineStr">
        <is>
          <t>—</t>
        </is>
      </c>
      <c r="F33" s="96" t="inlineStr">
        <is>
          <t>Cancelado (corte de escopo)</t>
        </is>
      </c>
      <c r="G33" s="96" t="inlineStr">
        <is>
          <t>Claude</t>
        </is>
      </c>
      <c r="H33" s="96" t="inlineStr">
        <is>
          <t>BUILD_AUDIOPHILE_PLAN_v2 AP-4.1</t>
        </is>
      </c>
      <c r="I33" s="96" t="inlineStr">
        <is>
          <t>[2026-10-19] Proposta de corte: o clone não lê .bcd (sem update de firmware). Ver HAP §2. [2026-10-19] Decisão do usuário 2026-10-19: corte (sem update de firmware).</t>
        </is>
      </c>
    </row>
    <row r="34">
      <c r="A34" s="95" t="inlineStr">
        <is>
          <t>AP-4.2</t>
        </is>
      </c>
      <c r="B34" s="96" t="inlineStr">
        <is>
          <t>4</t>
        </is>
      </c>
      <c r="C34" s="96" t="inlineStr">
        <is>
          <t>Tabela de classes de dispositivo (1814 + Audiophile); bootloader → runtime via MAFirmwareStart</t>
        </is>
      </c>
      <c r="D34" s="96" t="inlineStr">
        <is>
          <t>Log do helper mostra as duas classes</t>
        </is>
      </c>
      <c r="E34" s="96" t="inlineStr">
        <is>
          <t>AP-4.1</t>
        </is>
      </c>
      <c r="F34" s="96" t="inlineStr">
        <is>
          <t>Concluído</t>
        </is>
      </c>
      <c r="G34" s="96" t="inlineStr">
        <is>
          <t>Claude + Você</t>
        </is>
      </c>
      <c r="H34" s="96" t="inlineStr">
        <is>
          <t>BUILD_AUDIOPHILE_PLAN_v3 AP-4.2</t>
        </is>
      </c>
      <c r="I34" s="96" t="inlineStr">
        <is>
          <t>[2026-10-20] Sem código novo: o helper casa com a classe base genérica (AP-2.5) e com o FWMetaNub; MAFirmwareStart igual. Log com os dois modelos na fase 7. R109. [2026-10-20] [2026-10-20] fase 7, Audiophile sozinho no iMac, captura 96, R115: helper serve o Audiophile (bootloader e runtime).</t>
        </is>
      </c>
    </row>
    <row r="35">
      <c r="A35" s="95" t="inlineStr">
        <is>
          <t>AP-4.3</t>
        </is>
      </c>
      <c r="B35" s="96" t="inlineStr">
        <is>
          <t>4</t>
        </is>
      </c>
      <c r="C35" s="96" t="inlineStr">
        <is>
          <t>Persistência por GUID para um segundo modelo; replay após reload</t>
        </is>
      </c>
      <c r="D35" s="96" t="inlineStr">
        <is>
          <t>Como o teste R57 do 1814</t>
        </is>
      </c>
      <c r="E35" s="96" t="inlineStr">
        <is>
          <t>AP-4.1</t>
        </is>
      </c>
      <c r="F35" s="96" t="inlineStr">
        <is>
          <t>Concluído</t>
        </is>
      </c>
      <c r="G35" s="96" t="inlineStr">
        <is>
          <t>Claude</t>
        </is>
      </c>
      <c r="H35" s="96" t="inlineStr">
        <is>
          <t>BUILD_AUDIOPHILE_PLAN_v2 AP-4.3</t>
        </is>
      </c>
      <c r="I35" s="96" t="inlineStr">
        <is>
          <t>[2026-10-20] Sem código novo: persistência por GUID, dicionário inteiro, sem lista de chaves. Replay após reload na fase 7. R109. [2026-10-20] [2026-10-20] fase 7, Audiophile sozinho no iMac, captura 96, R115: nível sobrevive a unload/reload.</t>
        </is>
      </c>
    </row>
    <row r="36">
      <c r="A36" s="95" t="inlineStr">
        <is>
          <t>AP-4.4</t>
        </is>
      </c>
      <c r="B36" s="96" t="inlineStr">
        <is>
          <t>4</t>
        </is>
      </c>
      <c r="C36" s="96" t="inlineStr">
        <is>
          <t>Firmware de cada modelo no instalador (só no repositório privado)</t>
        </is>
      </c>
      <c r="D36" s="96" t="inlineStr">
        <is>
          <t>Checagem do instalador</t>
        </is>
      </c>
      <c r="E36" s="96" t="inlineStr">
        <is>
          <t>AP-4.1</t>
        </is>
      </c>
      <c r="F36" s="96" t="inlineStr">
        <is>
          <t>Cancelado (corte de escopo)</t>
        </is>
      </c>
      <c r="G36" s="96" t="inlineStr">
        <is>
          <t>Claude</t>
        </is>
      </c>
      <c r="H36" s="96" t="inlineStr">
        <is>
          <t>BUILD_AUDIOPHILE_PLAN_v2 AP-4.4</t>
        </is>
      </c>
      <c r="I36" s="96" t="inlineStr">
        <is>
          <t>[2026-10-19] Proposta de corte: sem update de firmware não há firmware para empacotar. Ver HAP §2. [2026-10-19] Decisão do usuário 2026-10-19: corte.</t>
        </is>
      </c>
    </row>
    <row r="37">
      <c r="A37" s="95" t="inlineStr">
        <is>
          <t>AP-5.1</t>
        </is>
      </c>
      <c r="B37" s="96" t="inlineStr">
        <is>
          <t>5</t>
        </is>
      </c>
      <c r="C37" s="96" t="inlineStr">
        <is>
          <t>Camada de modelo por dispositivo no novo painel (divisão CXDevice do oficial): contagens, grupos de controle, mapas de pares, chaves</t>
        </is>
      </c>
      <c r="D37" s="96" t="inlineStr">
        <is>
          <t>Snapshot do 1814 igual ao 0.1.0</t>
        </is>
      </c>
      <c r="E37" s="96" t="inlineStr">
        <is>
          <t>AP-2.2</t>
        </is>
      </c>
      <c r="F37" s="96" t="inlineStr">
        <is>
          <t>Concluído</t>
        </is>
      </c>
      <c r="G37" s="96" t="inlineStr">
        <is>
          <t>Claude</t>
        </is>
      </c>
      <c r="H37" s="96" t="inlineStr">
        <is>
          <t>BUILD_AUDIOPHILE_PLAN_v3 AP-5.1</t>
        </is>
      </c>
      <c r="I37" s="96" t="inlineStr">
        <is>
          <t>[2026-10-20] Camada por modelo do painel (Translator genérico pelos contadores do CXDevice; perfis em Sources/Models/FW1814 e FWAudiophile); 32 snapshots do 1814 idênticos byte a byte ao baseline 0.1.0; typecheck, testes e conformidade OK. R110.</t>
        </is>
      </c>
    </row>
    <row r="38">
      <c r="A38" s="95" t="inlineStr">
        <is>
          <t>AP-5.2</t>
        </is>
      </c>
      <c r="B38" s="96" t="inlineStr">
        <is>
          <t>5</t>
        </is>
      </c>
      <c r="C38" s="96" t="inlineStr">
        <is>
          <t>Conteúdo do Audiophile no layout do novo painel: todos os controles do PNAP §7</t>
        </is>
      </c>
      <c r="D38" s="96" t="inlineStr">
        <is>
          <t>Snapshots aprovados; checklist da captura 91 completo</t>
        </is>
      </c>
      <c r="E38" s="96" t="inlineStr">
        <is>
          <t>AP-5.1, AP-0.6</t>
        </is>
      </c>
      <c r="F38" s="96" t="inlineStr">
        <is>
          <t>Concluído</t>
        </is>
      </c>
      <c r="G38" s="96" t="inlineStr">
        <is>
          <t>Claude + Você</t>
        </is>
      </c>
      <c r="H38" s="96" t="inlineStr">
        <is>
          <t>BUILD_AUDIOPHILE_PLAN_v3 AP-5.2</t>
        </is>
      </c>
      <c r="I38" s="96" t="inlineStr">
        <is>
          <t>[2026-10-19] Decisão do usuário: layout e estilo do novo painel do 1814; as telas oficiais (captura 91) servem só de lista de controles. [2026-10-20] Conteúdo do Audiophile aprovado pelo usuário (demo no iMac, uma e duas interfaces). R111.</t>
        </is>
      </c>
    </row>
    <row r="39">
      <c r="A39" s="95" t="inlineStr">
        <is>
          <t>AP-5.3</t>
        </is>
      </c>
      <c r="B39" s="96" t="inlineStr">
        <is>
          <t>5</t>
        </is>
      </c>
      <c r="C39" s="96" t="inlineStr">
        <is>
          <t>Level Controller, botões ctrl, mute/dim, presets</t>
        </is>
      </c>
      <c r="D39" s="96" t="inlineStr">
        <is>
          <t>Testes host</t>
        </is>
      </c>
      <c r="E39" s="96" t="inlineStr">
        <is>
          <t>AP-5.2</t>
        </is>
      </c>
      <c r="F39" s="96" t="inlineStr">
        <is>
          <t>Concluído</t>
        </is>
      </c>
      <c r="G39" s="96" t="inlineStr">
        <is>
          <t>Claude</t>
        </is>
      </c>
      <c r="H39" s="96" t="inlineStr">
        <is>
          <t>BUILD_AUDIOPHILE_PLAN_v2 AP-5.3</t>
        </is>
      </c>
      <c r="I39" s="96" t="inlineStr">
        <is>
          <t>[2026-10-19] Referência do oficial com duas unidades: captura 94 (R93). [2026-10-20] Menu de dispositivos com 1814 + Audiophile funciona no demo (troca, título e tamanho por modelo); falta o teste com as duas interfaces reais (fase 7). [2026-10-20] [2026-10-20] captura 97, R117: painel com as duas unidades (usuário: reconhecidas de novo após power-cycle; checklist do menu não detalhado).</t>
        </is>
      </c>
    </row>
    <row r="40">
      <c r="A40" s="95" t="inlineStr">
        <is>
          <t>AP-5.3b</t>
        </is>
      </c>
      <c r="B40" s="96" t="inlineStr">
        <is>
          <t>5</t>
        </is>
      </c>
      <c r="C40" s="96" t="inlineStr">
        <is>
          <t>Menu de dispositivos com modelos mistos; estado por GUID</t>
        </is>
      </c>
      <c r="D40" s="96" t="inlineStr">
        <is>
          <t>Painel abre com só 1814 e com só Audiophile</t>
        </is>
      </c>
      <c r="E40" s="96" t="inlineStr">
        <is>
          <t>AP-5.2</t>
        </is>
      </c>
      <c r="F40" s="96" t="inlineStr">
        <is>
          <t>Em andamento</t>
        </is>
      </c>
      <c r="G40" s="96" t="inlineStr">
        <is>
          <t>Claude</t>
        </is>
      </c>
      <c r="H40" s="96" t="inlineStr">
        <is>
          <t>BUILD_AUDIOPHILE_PLAN_v8 AP-5.3</t>
        </is>
      </c>
      <c r="I40" s="96" t="inlineStr">
        <is>
          <t>[2026-10-21] Id era AP-5.4 (duplicado com a lei de monitoração, linha 64); = AP-5.3 do plano v4+ (menu de dispositivos). R117: painel reconheceu as duas unidades após power-cycle; o checklist do menu item a item não foi feito.</t>
        </is>
      </c>
    </row>
    <row r="41">
      <c r="A41" s="95" t="inlineStr">
        <is>
          <t>AP-6.1</t>
        </is>
      </c>
      <c r="B41" s="96" t="inlineStr">
        <is>
          <t>6</t>
        </is>
      </c>
      <c r="C41" s="96" t="inlineStr">
        <is>
          <t>Plug-in CoreMIDI original com a porta única do Audiophile</t>
        </is>
      </c>
      <c r="D41" s="96" t="inlineStr">
        <is>
          <t>midiprobe lista a porta</t>
        </is>
      </c>
      <c r="E41" s="96" t="inlineStr">
        <is>
          <t>AP-3.1</t>
        </is>
      </c>
      <c r="F41" s="96" t="inlineStr">
        <is>
          <t>Concluído</t>
        </is>
      </c>
      <c r="G41" s="96" t="inlineStr">
        <is>
          <t>Claude</t>
        </is>
      </c>
      <c r="H41" s="96" t="inlineStr">
        <is>
          <t>BUILD_AUDIOPHILE_PLAN_v2 AP-6.1</t>
        </is>
      </c>
      <c r="I41" s="96" t="inlineStr">
        <is>
          <t>[2026-10-19] Mapeado (R83): classe alias + MAMIDI*Ports + nome; teste fica para a fase 7. [2026-10-20] [2026-10-20] fase 7, Audiophile sozinho no iMac, captura 96, R115: plug-in original lista FireWire Audiophile 1/1 (loop DIN depois).</t>
        </is>
      </c>
    </row>
    <row r="42" s="21">
      <c r="A42" s="95" t="inlineStr">
        <is>
          <t>AP-6.2</t>
        </is>
      </c>
      <c r="B42" s="96" t="inlineStr">
        <is>
          <t>6</t>
        </is>
      </c>
      <c r="C42" s="96" t="inlineStr">
        <is>
          <t>Loopback DIN + SysEx</t>
        </is>
      </c>
      <c r="D42" s="96" t="inlineStr">
        <is>
          <t>Captura</t>
        </is>
      </c>
      <c r="E42" s="96" t="inlineStr">
        <is>
          <t>AP-6.1</t>
        </is>
      </c>
      <c r="F42" s="96" t="inlineStr">
        <is>
          <t>Não iniciado</t>
        </is>
      </c>
      <c r="G42" s="96" t="inlineStr">
        <is>
          <t>Claude + Você (cabo)</t>
        </is>
      </c>
      <c r="H42" s="96" t="inlineStr">
        <is>
          <t>BUILD_AUDIOPHILE_PLAN_v2 AP-6.2</t>
        </is>
      </c>
      <c r="I42" s="96" t="inlineStr"/>
    </row>
    <row r="43" s="21">
      <c r="A43" s="95" t="inlineStr">
        <is>
          <t>AP-7.1</t>
        </is>
      </c>
      <c r="B43" s="96" t="inlineStr">
        <is>
          <t>7</t>
        </is>
      </c>
      <c r="C43" s="96" t="inlineStr">
        <is>
          <t>Audiophile para o iMac (desligar → cabo → ligar); load (kext de teste em /tmp): bootloader → runtime</t>
        </is>
      </c>
      <c r="D43" s="96" t="inlineStr">
        <is>
          <t>Nó "FireWire Audiophile"; Model_ID do bootloader anotado</t>
        </is>
      </c>
      <c r="E43" s="96" t="inlineStr">
        <is>
          <t>AP-3.*, AP-4.*, AP-5.*, AP-6.1</t>
        </is>
      </c>
      <c r="F43" s="96" t="inlineStr">
        <is>
          <t>Concluído</t>
        </is>
      </c>
      <c r="G43" s="96" t="inlineStr">
        <is>
          <t>Claude + Você</t>
        </is>
      </c>
      <c r="H43" s="96" t="inlineStr">
        <is>
          <t>BUILD_AUDIOPHILE_PLAN_v3 AP-7.1</t>
        </is>
      </c>
      <c r="I43" s="96" t="inlineStr">
        <is>
          <t>Regra do avião: só com a pilha completa. [2026-10-20] Roteiro da sessão pronto: tests/hw-smoke/phase7.sh + p7util.py (passos só-leitura testados no iMac; os que mudam estado ficam para a sessão). R114. [2026-10-20] [2026-10-20] fase 7, Audiophile sozinho no iMac, captura 96, R115: bootloader 0x10060 -&gt; runtime via MAFirmwareStart; AppleFWAudio não anexou.</t>
        </is>
      </c>
    </row>
    <row r="44" s="21">
      <c r="A44" s="95" t="inlineStr">
        <is>
          <t>AP-7.2</t>
        </is>
      </c>
      <c r="B44" s="96" t="inlineStr">
        <is>
          <t>7</t>
        </is>
      </c>
      <c r="C44" s="96" t="inlineStr">
        <is>
          <t>CoreAudio lista 4 in / 6 out a 44.1/48/88.2/96</t>
        </is>
      </c>
      <c r="D44" s="96" t="inlineStr">
        <is>
          <t>halinfo, AMS</t>
        </is>
      </c>
      <c r="E44" s="96" t="inlineStr">
        <is>
          <t>AP-7.1</t>
        </is>
      </c>
      <c r="F44" s="96" t="inlineStr">
        <is>
          <t>Concluído</t>
        </is>
      </c>
      <c r="G44" s="96" t="inlineStr">
        <is>
          <t>Claude + Você</t>
        </is>
      </c>
      <c r="H44" s="96" t="inlineStr">
        <is>
          <t>BUILD_AUDIOPHILE_PLAN_v2 AP-7.2</t>
        </is>
      </c>
      <c r="I44" s="96" t="inlineStr">
        <is>
          <t>[2026-10-20] [2026-10-20] fase 7, Audiophile sozinho no iMac, captura 96, R115: 4/6 em 44.1/48/88.2/96.</t>
        </is>
      </c>
    </row>
    <row r="45" s="21">
      <c r="A45" s="95" t="inlineStr">
        <is>
          <t>AP-7.3</t>
        </is>
      </c>
      <c r="B45" s="96" t="inlineStr">
        <is>
          <t>7</t>
        </is>
      </c>
      <c r="C45" s="96" t="inlineStr">
        <is>
          <t>Teste de ordem de canais (tom em cada saída/entrada)</t>
        </is>
      </c>
      <c r="D45" s="96" t="inlineStr">
        <is>
          <t>Tabela confere com LLRR ou é corrigida</t>
        </is>
      </c>
      <c r="E45" s="96" t="inlineStr">
        <is>
          <t>AP-7.2</t>
        </is>
      </c>
      <c r="F45" s="96" t="inlineStr">
        <is>
          <t>Concluído</t>
        </is>
      </c>
      <c r="G45" s="96" t="inlineStr">
        <is>
          <t>Claude + Você</t>
        </is>
      </c>
      <c r="H45" s="96" t="inlineStr">
        <is>
          <t>BUILD_AUDIOPHILE_PLAN_v2 AP-7.3</t>
        </is>
      </c>
      <c r="I45" s="96" t="inlineStr">
        <is>
          <t>[2026-10-20] [2026-10-20] fase 7, Audiophile sozinho no iMac, captura 96, R115: CA 1/2 out 1/2, 3/4 out 3/4, 5/6 S/PDIF (medidores do aparelho + receiver).</t>
        </is>
      </c>
    </row>
    <row r="46" s="21">
      <c r="A46" s="95" t="inlineStr">
        <is>
          <t>AP-7.4</t>
        </is>
      </c>
      <c r="B46" s="96" t="inlineStr">
        <is>
          <t>7</t>
        </is>
      </c>
      <c r="C46" s="96" t="inlineStr">
        <is>
          <t>Playback, gravação, loopback full-duplex, looplat</t>
        </is>
      </c>
      <c r="D46" s="96" t="inlineStr">
        <is>
          <t>Sem quebras; latência anotada</t>
        </is>
      </c>
      <c r="E46" s="96" t="inlineStr">
        <is>
          <t>AP-7.3</t>
        </is>
      </c>
      <c r="F46" s="96" t="inlineStr">
        <is>
          <t>Concluído</t>
        </is>
      </c>
      <c r="G46" s="96" t="inlineStr">
        <is>
          <t>Claude + Você</t>
        </is>
      </c>
      <c r="H46" s="96" t="inlineStr">
        <is>
          <t>BUILD_AUDIOPHILE_PLAN_v2 AP-7.4</t>
        </is>
      </c>
      <c r="I46" s="96" t="inlineStr">
        <is>
          <t>[2026-10-20] [2026-10-20] fase 7, Audiophile sozinho no iMac, captura 96, R115: loopcheck 0 eventos; 9.1 ms @48k/64.</t>
        </is>
      </c>
    </row>
    <row r="47">
      <c r="A47" s="95" t="inlineStr">
        <is>
          <t>AP-7.5</t>
        </is>
      </c>
      <c r="B47" s="96" t="inlineStr">
        <is>
          <t>7</t>
        </is>
      </c>
      <c r="C47" s="96" t="inlineStr">
        <is>
          <t>Varredura de taxa, sync S/PDIF externo, troca de taxa bloqueada com cliente</t>
        </is>
      </c>
      <c r="D47" s="96" t="inlineStr">
        <is>
          <t>Status 0; sem pânico</t>
        </is>
      </c>
      <c r="E47" s="96" t="inlineStr">
        <is>
          <t>AP-7.4</t>
        </is>
      </c>
      <c r="F47" s="96" t="inlineStr">
        <is>
          <t>Em andamento</t>
        </is>
      </c>
      <c r="G47" s="96" t="inlineStr">
        <is>
          <t>Claude + Você</t>
        </is>
      </c>
      <c r="H47" s="96" t="inlineStr">
        <is>
          <t>BUILD_AUDIOPHILE_PLAN_v2 AP-7.5</t>
        </is>
      </c>
      <c r="I47" s="96" t="inlineStr">
        <is>
          <t>[2026-10-20] [2026-10-20] fase 7, Audiophile sozinho no iMac, captura 96, R115: taxas ok; sync S/PDIF lock/unlock não testado.</t>
        </is>
      </c>
    </row>
    <row r="48" s="21">
      <c r="A48" s="95" t="inlineStr">
        <is>
          <t>AP-7.6</t>
        </is>
      </c>
      <c r="B48" s="96" t="inlineStr">
        <is>
          <t>7</t>
        </is>
      </c>
      <c r="C48" s="96" t="inlineStr">
        <is>
          <t>Mixer/roteador pelo painel</t>
        </is>
      </c>
      <c r="D48" s="96" t="inlineStr">
        <is>
          <t>Checklist assinado</t>
        </is>
      </c>
      <c r="E48" s="96" t="inlineStr">
        <is>
          <t>AP-7.4</t>
        </is>
      </c>
      <c r="F48" s="96" t="inlineStr">
        <is>
          <t>Concluído</t>
        </is>
      </c>
      <c r="G48" s="96" t="inlineStr">
        <is>
          <t>Claude + Você</t>
        </is>
      </c>
      <c r="H48" s="96" t="inlineStr">
        <is>
          <t>BUILD_AUDIOPHILE_PLAN_v2 AP-7.6</t>
        </is>
      </c>
      <c r="I48" s="96" t="inlineStr">
        <is>
          <t>[2026-10-20] [2026-10-20] fase 7, Audiophile sozinho no iMac, captura 96, R115: painel verificado pelo usuário.</t>
        </is>
      </c>
    </row>
    <row r="49" s="21">
      <c r="A49" s="95" t="inlineStr">
        <is>
          <t>AP-7.7</t>
        </is>
      </c>
      <c r="B49" s="96" t="inlineStr">
        <is>
          <t>7</t>
        </is>
      </c>
      <c r="C49" s="96" t="inlineStr">
        <is>
          <t>Painel frontal: Level Controller, encoder de fones, A/B + LEDs, Direct Monitoring</t>
        </is>
      </c>
      <c r="D49" s="96" t="inlineStr">
        <is>
          <t>Checklist</t>
        </is>
      </c>
      <c r="E49" s="96" t="inlineStr">
        <is>
          <t>AP-7.6</t>
        </is>
      </c>
      <c r="F49" s="96" t="inlineStr">
        <is>
          <t>Concluído</t>
        </is>
      </c>
      <c r="G49" s="96" t="inlineStr">
        <is>
          <t>Claude + Você</t>
        </is>
      </c>
      <c r="H49" s="96" t="inlineStr">
        <is>
          <t>BUILD_AUDIOPHILE_PLAN_v2 AP-7.7</t>
        </is>
      </c>
      <c r="I49" s="96" t="inlineStr">
        <is>
          <t>[2026-10-20] [2026-10-20] fase 7, Audiophile sozinho no iMac, captura 96, R115: Level Controller, fone, A/B e LEDs.</t>
        </is>
      </c>
    </row>
    <row r="50" s="21">
      <c r="A50" s="95" t="inlineStr">
        <is>
          <t>AP-7.8</t>
        </is>
      </c>
      <c r="B50" s="96" t="inlineStr">
        <is>
          <t>7</t>
        </is>
      </c>
      <c r="C50" s="96" t="inlineStr">
        <is>
          <t>MIDI, sleep/wake, bus reset por power-cycle, soak de 5 min e 1 h</t>
        </is>
      </c>
      <c r="D50" s="96" t="inlineStr">
        <is>
          <t>Notas; falhas viram itens</t>
        </is>
      </c>
      <c r="E50" s="96" t="inlineStr">
        <is>
          <t>AP-7.7</t>
        </is>
      </c>
      <c r="F50" s="96" t="inlineStr">
        <is>
          <t>Em andamento</t>
        </is>
      </c>
      <c r="G50" s="96" t="inlineStr">
        <is>
          <t>Claude + Você</t>
        </is>
      </c>
      <c r="H50" s="96" t="inlineStr">
        <is>
          <t>BUILD_AUDIOPHILE_PLAN_v2 AP-7.8</t>
        </is>
      </c>
      <c r="I50" s="96" t="inlineStr">
        <is>
          <t>[2026-10-20] [2026-10-20] captura 97, R117: power-cycle das duas unidades com o driver carregado ok; soak 30 s das duas juntas ok; sleep/wake, MIDI, soak 1 h pendentes.</t>
        </is>
      </c>
    </row>
    <row r="51" s="21">
      <c r="A51" s="95" t="inlineStr">
        <is>
          <t>AP-7.9</t>
        </is>
      </c>
      <c r="B51" s="96" t="inlineStr">
        <is>
          <t>7</t>
        </is>
      </c>
      <c r="C51" s="96" t="inlineStr">
        <is>
          <t>Captura do driver oficial no rig SL</t>
        </is>
      </c>
      <c r="D51" s="96" t="inlineStr">
        <is>
          <t>—</t>
        </is>
      </c>
      <c r="E51" s="96" t="inlineStr">
        <is>
          <t>—</t>
        </is>
      </c>
      <c r="F51" s="96" t="inlineStr">
        <is>
          <t>Cancelado (corte de escopo)</t>
        </is>
      </c>
      <c r="G51" s="96" t="inlineStr">
        <is>
          <t>—</t>
        </is>
      </c>
      <c r="H51" s="96" t="inlineStr">
        <is>
          <t>BUILD_AUDIOPHILE_PLAN_v2 AP-7.9</t>
        </is>
      </c>
      <c r="I51" s="96" t="inlineStr">
        <is>
          <t>[2026-10-19] Substituído pelo AP-0.9 (unidade já no rig).</t>
        </is>
      </c>
    </row>
    <row r="52" s="21">
      <c r="A52" s="95" t="inlineStr">
        <is>
          <t>AP-8.1</t>
        </is>
      </c>
      <c r="B52" s="96" t="inlineStr">
        <is>
          <t>8</t>
        </is>
      </c>
      <c r="C52" s="96" t="inlineStr">
        <is>
          <t>Escada completa do 1814 na árvore nova</t>
        </is>
      </c>
      <c r="D52" s="96" t="inlineStr">
        <is>
          <t>Tudo que passou no 0.1.0 passa; ratecycle = capturas 85/86</t>
        </is>
      </c>
      <c r="E52" s="96" t="inlineStr">
        <is>
          <t>AP-7.*</t>
        </is>
      </c>
      <c r="F52" s="96" t="inlineStr">
        <is>
          <t>Em andamento</t>
        </is>
      </c>
      <c r="G52" s="96" t="inlineStr">
        <is>
          <t>Claude + Você</t>
        </is>
      </c>
      <c r="H52" s="96" t="inlineStr">
        <is>
          <t>BUILD_AUDIOPHILE_PLAN_v2 AP-8.1</t>
        </is>
      </c>
      <c r="I52" s="96" t="inlineStr">
        <is>
          <t>[2026-10-20] [2026-10-20] captura 97, R117: 1814 no driver novo: seis taxas ok; loop/latência do 1814 ainda não.</t>
        </is>
      </c>
    </row>
    <row r="53" s="21">
      <c r="A53" s="95" t="inlineStr">
        <is>
          <t>AP-8.2</t>
        </is>
      </c>
      <c r="B53" s="96" t="inlineStr">
        <is>
          <t>8</t>
        </is>
      </c>
      <c r="C53" s="96" t="inlineStr">
        <is>
          <t>Instalador novo (.pkg, remove o kext 1814-only, desinstalador, dmg)</t>
        </is>
      </c>
      <c r="D53" s="96" t="inlineStr">
        <is>
          <t>Instalação limpa no Air</t>
        </is>
      </c>
      <c r="E53" s="96" t="inlineStr">
        <is>
          <t>AP-8.1</t>
        </is>
      </c>
      <c r="F53" s="96" t="inlineStr">
        <is>
          <t>Em andamento</t>
        </is>
      </c>
      <c r="G53" s="96" t="inlineStr">
        <is>
          <t>Claude + Você</t>
        </is>
      </c>
      <c r="H53" s="96" t="inlineStr">
        <is>
          <t>BUILD_AUDIOPHILE_PLAN_v2 AP-8.2</t>
        </is>
      </c>
      <c r="I53" s="96" t="inlineStr">
        <is>
          <t>[2026-10-20] v6: inclui a Firmware Tool (só verificação, sem imagens). [2026-10-21] Pacote e dmg 0.2.0 construídos (e9341bb): payload kext/helper/painel/Firmware Tool/plug-in MIDI/ícones/uninstall.sh; preinstall remove os arquivos do 0.1.0 e não descarrega nada (R117); postinstall roda kextutil -t -n e remove o kext se falhar; pede restart. check-self-contained passou no payload e no app de desinstalação (2026-10-21). R118. Falta: instalação limpa no Air (usuário, sudo com senha).</t>
        </is>
      </c>
    </row>
    <row r="54" s="21">
      <c r="A54" s="95" t="inlineStr">
        <is>
          <t>AP-8.3</t>
        </is>
      </c>
      <c r="B54" s="96" t="inlineStr">
        <is>
          <t>8</t>
        </is>
      </c>
      <c r="C54" s="96" t="inlineStr">
        <is>
          <t>README/NOTICE/known issues para dois modelos; sync público só com seu OK</t>
        </is>
      </c>
      <c r="D54" s="96" t="inlineStr">
        <is>
          <t>Documentação honesta; comandos de push para você</t>
        </is>
      </c>
      <c r="E54" s="96" t="inlineStr">
        <is>
          <t>AP-8.2</t>
        </is>
      </c>
      <c r="F54" s="96" t="inlineStr">
        <is>
          <t>Em andamento</t>
        </is>
      </c>
      <c r="G54" s="96" t="inlineStr">
        <is>
          <t>Claude</t>
        </is>
      </c>
      <c r="H54" s="96" t="inlineStr">
        <is>
          <t>BUILD_AUDIOPHILE_PLAN_v2 AP-8.3</t>
        </is>
      </c>
      <c r="I54" s="96" t="inlineStr">
        <is>
          <t>[2026-10-20] v6: dizer que a Firmware Tool só verifica e nada grava flash. [2026-10-21] Rascunhos docs/README_0.2.0_v1.md e docs/NOTICE_0.2.0_v1.md (só fatos de R115-R118; itens [pending] a fechar após AP-8.2/AP-8.1/AP-5.5-5.6; faltam capturas de tela do Audiophile, menu de status e medidor grande). Público intocado.</t>
        </is>
      </c>
    </row>
    <row r="55" s="21">
      <c r="A55" s="95" t="inlineStr">
        <is>
          <t>AP-8.4</t>
        </is>
      </c>
      <c r="B55" s="96" t="inlineStr">
        <is>
          <t>8</t>
        </is>
      </c>
      <c r="C55" s="96" t="inlineStr">
        <is>
          <t>Versão e asset de release (Q3)</t>
        </is>
      </c>
      <c r="D55" s="96" t="inlineStr">
        <is>
          <t>—</t>
        </is>
      </c>
      <c r="E55" s="96" t="inlineStr">
        <is>
          <t>DEC-Q3</t>
        </is>
      </c>
      <c r="F55" s="96" t="inlineStr">
        <is>
          <t>Não iniciado</t>
        </is>
      </c>
      <c r="G55" s="96" t="inlineStr">
        <is>
          <t>Você</t>
        </is>
      </c>
      <c r="H55" s="96" t="inlineStr">
        <is>
          <t>BUILD_AUDIOPHILE_PLAN_v2 AP-8.4</t>
        </is>
      </c>
      <c r="I55" s="96" t="inlineStr"/>
    </row>
    <row r="56">
      <c r="A56" s="95" t="inlineStr">
        <is>
          <t>AP-3.10</t>
        </is>
      </c>
      <c r="B56" s="96" t="inlineStr">
        <is>
          <t>3</t>
        </is>
      </c>
      <c r="C56" s="96" t="inlineStr">
        <is>
          <t>Consulta EXTENDED PLUG INFO (STATUS, só leitura) no bring-up, registrada no anel de diagnóstico — ordem física dos canais antes de qualquer áudio</t>
        </is>
      </c>
      <c r="D56" s="96" t="inlineStr">
        <is>
          <t>Log mostra a ordem dos clusters/canais</t>
        </is>
      </c>
      <c r="E56" s="96" t="inlineStr">
        <is>
          <t>AP-2.3</t>
        </is>
      </c>
      <c r="F56" s="96" t="inlineStr">
        <is>
          <t>Concluído</t>
        </is>
      </c>
      <c r="G56" s="96" t="inlineStr">
        <is>
          <t>Claude</t>
        </is>
      </c>
      <c r="H56" s="96" t="inlineStr">
        <is>
          <t>BUILD_AUDIOPHILE_PLAN_v3 AP-3.10</t>
        </is>
      </c>
      <c r="I56" s="96" t="inlineStr">
        <is>
          <t>[2026-10-19] Criada no plano v3 (R92: não alcançável no rig com o driver oficial). [2026-10-20] Código pronto: EXTENDED PLUG INFO (posição de canais + clusters) no bring-up só em Rev2, registrado no MADebugTrace; quadros testados no host. Critério (log com a ordem) na fase 7. R108. [2026-10-20] [2026-10-20] fase 7, Audiophile sozinho no iMac, captura 96, R115: EXTENDED PLUG INFO lido antes de áudio; ordem confirmada por tons + medidores.</t>
        </is>
      </c>
    </row>
    <row r="57">
      <c r="A57" s="95" t="inlineStr">
        <is>
          <t>AP-2.5</t>
        </is>
      </c>
      <c r="B57" s="96" t="inlineStr">
        <is>
          <t>2</t>
        </is>
      </c>
      <c r="C57" s="96" t="inlineStr">
        <is>
          <t>Passe de genericidade + árvore modular (regras do usuário 2026-10-20: o que pode ser genérico deve ser genérico; base comum + módulos por modelo; documentar a lógica do driver oficial)</t>
        </is>
      </c>
      <c r="D57" s="96" t="inlineStr">
        <is>
          <t>Build limpo + kextutil -t -n + conformidade (base sem modelo, classe genérica no painel/helper) + teste host; corpos 1814 inalterados</t>
        </is>
      </c>
      <c r="E57" s="96" t="inlineStr">
        <is>
          <t>AP-2.4</t>
        </is>
      </c>
      <c r="F57" s="96" t="inlineStr">
        <is>
          <t>Concluído</t>
        </is>
      </c>
      <c r="G57" s="96" t="inlineStr">
        <is>
          <t>Claude</t>
        </is>
      </c>
      <c r="H57" s="96" t="inlineStr">
        <is>
          <t>BUILD_AUDIOPHILE_PLAN_v4 AP-2.5</t>
        </is>
      </c>
      <c r="I57" s="96" t="inlineStr">
        <is>
          <t>[2026-10-20] kext/src/base + kext/src/models/FW1814; FWUserClient genérico; tabelas 1814 no módulo; latência Rev1 @0x136da; poll de pacotes único; painel/helper/tools casam com com_openaudio_FWAVCAudioDevice; docs/ARCHITECTURE_MAFW_v1.md. R98.</t>
        </is>
      </c>
    </row>
    <row r="58">
      <c r="A58" s="95" t="inlineStr">
        <is>
          <t>AP-9.1</t>
        </is>
      </c>
      <c r="B58" s="96" t="inlineStr">
        <is>
          <t>9</t>
        </is>
      </c>
      <c r="C58" s="96" t="inlineStr">
        <is>
          <t>Verificação de firmware (somente leitura): app lista cada unidade, estado runtime/bootloader, datas, compara com o build oficial 1.11.2</t>
        </is>
      </c>
      <c r="D58" s="96" t="inlineStr">
        <is>
          <t>Roda com as duas unidades; ambas "current"; nenhuma escrita</t>
        </is>
      </c>
      <c r="E58" s="96" t="inlineStr">
        <is>
          <t>AP-5.2</t>
        </is>
      </c>
      <c r="F58" s="96" t="inlineStr">
        <is>
          <t>Concluído</t>
        </is>
      </c>
      <c r="G58" s="96" t="inlineStr">
        <is>
          <t>Claude</t>
        </is>
      </c>
      <c r="H58" s="96" t="inlineStr">
        <is>
          <t>BUILD_AUDIOPHILE_PLAN_v6 AP-9.1</t>
        </is>
      </c>
      <c r="I58" s="96" t="inlineStr">
        <is>
          <t>[2026-10-20] aprovado pelo usuário [2026-10-20] App de verificação (somente leitura) pronto; teste host OK; ao vivo no iMac: FW1814 0xD6C040012337F = build oficial (Current). Falta a leitura ao vivo do Audiophile (fase 7). R112. [2026-10-20] Plano v6: fase 9 termina aqui. Regra oficial: o helper 1.11.2 regrava automaticamente se a data difere (isEqual:), sem mínimo; texto "Older"/"Newer" e tooltip do painel ajustados; snapshot demo ok. Leitura do Audiophile = AP-7.9. R113. [2026-10-20] [2026-10-20] fase 7, Audiophile sozinho no iMac, captura 96, R115: as duas unidades Current (uma de cada vez).</t>
        </is>
      </c>
    </row>
    <row r="59">
      <c r="A59" s="95" t="inlineStr">
        <is>
          <t>AP-9.2</t>
        </is>
      </c>
      <c r="B59" s="96" t="inlineStr">
        <is>
          <t>9</t>
        </is>
      </c>
      <c r="C59" s="96" t="inlineStr">
        <is>
          <t>Caminho de atualização no kext (FWMetaNub, Q-P3 §4-§5 byte a byte)</t>
        </is>
      </c>
      <c r="D59" s="96" t="inlineStr">
        <is>
          <t>Testes host de bytes dos comandos; build + kextutil</t>
        </is>
      </c>
      <c r="E59" s="96" t="inlineStr">
        <is>
          <t>AP-9.1</t>
        </is>
      </c>
      <c r="F59" s="96" t="inlineStr">
        <is>
          <t>Cancelado (corte de escopo)</t>
        </is>
      </c>
      <c r="G59" s="96" t="inlineStr">
        <is>
          <t>Claude</t>
        </is>
      </c>
      <c r="H59" s="96" t="inlineStr">
        <is>
          <t>BUILD_AUDIOPHILE_PLAN_v6 AP-9.2</t>
        </is>
      </c>
      <c r="I59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0">
      <c r="A60" s="95" t="inlineStr">
        <is>
          <t>AP-9.3</t>
        </is>
      </c>
      <c r="B60" s="96" t="inlineStr">
        <is>
          <t>9</t>
        </is>
      </c>
      <c r="C60" s="96" t="inlineStr">
        <is>
          <t>Fluxo de atualização no app (Halt, imagem, Start, verificação), recusas de segurança</t>
        </is>
      </c>
      <c r="D60" s="96" t="inlineStr">
        <is>
          <t>Dry run com backend falso; testes host das verificações de imagem</t>
        </is>
      </c>
      <c r="E60" s="96" t="inlineStr">
        <is>
          <t>AP-9.2</t>
        </is>
      </c>
      <c r="F60" s="96" t="inlineStr">
        <is>
          <t>Cancelado (corte de escopo)</t>
        </is>
      </c>
      <c r="G60" s="96" t="inlineStr">
        <is>
          <t>Claude</t>
        </is>
      </c>
      <c r="H60" s="96" t="inlineStr">
        <is>
          <t>BUILD_AUDIOPHILE_PLAN_v6 AP-9.3</t>
        </is>
      </c>
      <c r="I60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1">
      <c r="A61" s="95" t="inlineStr">
        <is>
          <t>AP-9.4</t>
        </is>
      </c>
      <c r="B61" s="96" t="inlineStr">
        <is>
          <t>9</t>
        </is>
      </c>
      <c r="C61" s="96" t="inlineStr">
        <is>
          <t>Teste no hardware com o usuário: regravar o mesmo build em uma unidade</t>
        </is>
      </c>
      <c r="D61" s="96" t="inlineStr">
        <is>
          <t>Sucesso, unidade roda, data igual, loopcheck OK</t>
        </is>
      </c>
      <c r="E61" s="96" t="inlineStr">
        <is>
          <t>AP-9.3</t>
        </is>
      </c>
      <c r="F61" s="96" t="inlineStr">
        <is>
          <t>Cancelado (corte de escopo)</t>
        </is>
      </c>
      <c r="G61" s="96" t="inlineStr">
        <is>
          <t>Claude</t>
        </is>
      </c>
      <c r="H61" s="96" t="inlineStr">
        <is>
          <t>BUILD_AUDIOPHILE_PLAN_v6 AP-9.4</t>
        </is>
      </c>
      <c r="I61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2">
      <c r="A62" s="95" t="inlineStr">
        <is>
          <t>AP-9.5</t>
        </is>
      </c>
      <c r="B62" s="96" t="inlineStr">
        <is>
          <t>9</t>
        </is>
      </c>
      <c r="C62" s="96" t="inlineStr">
        <is>
          <t>Builds públicos sem imagens da M-Audio: extrair do .dmg oficial do usuário</t>
        </is>
      </c>
      <c r="D62" s="96" t="inlineStr">
        <is>
          <t>Extração reproduz os 8 SHA-256</t>
        </is>
      </c>
      <c r="E62" s="96" t="inlineStr">
        <is>
          <t>AP-9.3</t>
        </is>
      </c>
      <c r="F62" s="96" t="inlineStr">
        <is>
          <t>Cancelado (corte de escopo)</t>
        </is>
      </c>
      <c r="G62" s="96" t="inlineStr">
        <is>
          <t>Claude</t>
        </is>
      </c>
      <c r="H62" s="96" t="inlineStr">
        <is>
          <t>BUILD_AUDIOPHILE_PLAN_v6 AP-9.5</t>
        </is>
      </c>
      <c r="I62" s="96" t="inlineStr">
        <is>
          <t>[2026-10-20] aprovado pelo usuário [2026-10-20] Arquivado (plano v6, decisão do usuário): a ferramenta fica só de verificação; nada grava flash. Decodificação Q-P3 mantida. R113.</t>
        </is>
      </c>
    </row>
    <row r="63">
      <c r="A63" s="95" t="inlineStr">
        <is>
          <t>AP-7.9</t>
        </is>
      </c>
      <c r="B63" s="96" t="inlineStr">
        <is>
          <t>7</t>
        </is>
      </c>
      <c r="C63" s="96" t="inlineStr">
        <is>
          <t>Firmware Tool com as duas unidades conectadas (fecha AP-9.1)</t>
        </is>
      </c>
      <c r="D63" s="96" t="inlineStr">
        <is>
          <t>Ambas "Current"; nenhuma escrita no registro</t>
        </is>
      </c>
      <c r="E63" s="96" t="inlineStr">
        <is>
          <t>AP-7.1</t>
        </is>
      </c>
      <c r="F63" s="96" t="inlineStr">
        <is>
          <t>Concluído</t>
        </is>
      </c>
      <c r="G63" s="96" t="inlineStr">
        <is>
          <t>Claude + Você</t>
        </is>
      </c>
      <c r="H63" s="96" t="inlineStr">
        <is>
          <t>BUILD_AUDIOPHILE_PLAN_v6 AP-7.9</t>
        </is>
      </c>
      <c r="I63" s="96" t="inlineStr">
        <is>
          <t>[2026-10-20] Nova linha no plano v6. R113. [2026-10-20] [2026-10-20] fase 7, Audiophile sozinho no iMac, captura 96, R115: Audiophile Current (1814 Current antes).</t>
        </is>
      </c>
    </row>
    <row r="64">
      <c r="A64" s="95" t="inlineStr">
        <is>
          <t>AP-5.4</t>
        </is>
      </c>
      <c r="B64" s="96" t="inlineStr">
        <is>
          <t>5</t>
        </is>
      </c>
      <c r="C64" s="96" t="inlineStr">
        <is>
          <t>Lei de monitoração (dB-linear 72 dB, centro -36; knob 1.5 dB por clique padrão, 3 dB ou oficial; fundo = off) + segurança do fone (helper e reset)</t>
        </is>
      </c>
      <c r="D64" s="96" t="inlineStr">
        <is>
          <t>Testes host/painel; no hardware: cliques, off no fundo, persistência</t>
        </is>
      </c>
      <c r="E64" s="96" t="inlineStr">
        <is>
          <t>AP-5.2</t>
        </is>
      </c>
      <c r="F64" s="96" t="inlineStr">
        <is>
          <t>Concluído</t>
        </is>
      </c>
      <c r="G64" s="96" t="inlineStr">
        <is>
          <t>Claude + Você</t>
        </is>
      </c>
      <c r="H64" s="96" t="inlineStr">
        <is>
          <t>BUILD_AUDIOPHILE_PLAN_v7 AP-5.4</t>
        </is>
      </c>
      <c r="I64" s="96" t="inlineStr">
        <is>
          <t>[2026-10-20] Pedido do usuário na sessão; verificado no Audiophile (captura 96). R116. Falta conferir no 1814.</t>
        </is>
      </c>
    </row>
    <row r="65">
      <c r="A65" s="95" t="inlineStr">
        <is>
          <t>AP-5.5</t>
        </is>
      </c>
      <c r="B65" s="96" t="inlineStr">
        <is>
          <t>5</t>
        </is>
      </c>
      <c r="C65" s="96" t="inlineStr">
        <is>
          <t>Modo barra de menus (Dock / barra / ambos, abrir no login) com menu de status: ícone online / mudo / sem sync, volumes, mute, dim, A/B, taxa, sync, presets, passo do knob, medidor grande</t>
        </is>
      </c>
      <c r="D65" s="96" t="inlineStr">
        <is>
          <t>Testes do painel; no hardware: cada item age na unidade marcada; ícone segue mute e lock</t>
        </is>
      </c>
      <c r="E65" s="96" t="inlineStr">
        <is>
          <t>AP-5.4</t>
        </is>
      </c>
      <c r="F65" s="96" t="inlineStr">
        <is>
          <t>Em andamento</t>
        </is>
      </c>
      <c r="G65" s="96" t="inlineStr">
        <is>
          <t>Claude + Você</t>
        </is>
      </c>
      <c r="H65" s="96" t="inlineStr">
        <is>
          <t>BUILD_AUDIOPHILE_PLAN_v8 AP-5.5</t>
        </is>
      </c>
      <c r="I65" s="51" t="inlineStr">
        <is>
          <t>[2026-10-21] Código no commit e9341bb; make test do painel ALL PASS no iMac (2026-10-21). R118. Falta o teste no hardware com o usuário. [2026-10-21] R118 registrado.</t>
        </is>
      </c>
    </row>
    <row r="66">
      <c r="A66" s="95" t="inlineStr">
        <is>
          <t>AP-5.6</t>
        </is>
      </c>
      <c r="B66" s="96" t="inlineStr">
        <is>
          <t>5</t>
        </is>
      </c>
      <c r="C66" s="96" t="inlineStr">
        <is>
          <t>Medidor horizontal grande (~80 % da largura): SW 1/2, Out 1/2, Phones, In 1/2; -60…0 dBFS, hold ~2 s; sempre no topo, fixar, transparência, click-through</t>
        </is>
      </c>
      <c r="D66" s="96" t="inlineStr">
        <is>
          <t>Testes do painel da escala; ao vivo com música</t>
        </is>
      </c>
      <c r="E66" s="96" t="inlineStr">
        <is>
          <t>AP-5.4</t>
        </is>
      </c>
      <c r="F66" s="96" t="inlineStr">
        <is>
          <t>Em andamento</t>
        </is>
      </c>
      <c r="G66" s="96" t="inlineStr">
        <is>
          <t>Claude + Você</t>
        </is>
      </c>
      <c r="H66" s="96" t="inlineStr">
        <is>
          <t>BUILD_AUDIOPHILE_PLAN_v8 AP-5.6</t>
        </is>
      </c>
      <c r="I66" s="51" t="inlineStr">
        <is>
          <t>[2026-10-21] Código no commit e9341bb; make test do painel ALL PASS no iMac. R118. Falta ver ao vivo com música. [2026-10-21] R118 registrado.</t>
        </is>
      </c>
    </row>
  </sheetData>
  <autoFilter ref="A1:I55"/>
  <conditionalFormatting sqref="F2:F500">
    <cfRule type="cellIs" priority="1" operator="equal" dxfId="13">
      <formula>"Concluído"</formula>
    </cfRule>
    <cfRule type="cellIs" priority="2" operator="equal" dxfId="14">
      <formula>"Em andamento"</formula>
    </cfRule>
    <cfRule type="cellIs" priority="3" operator="equal" dxfId="15">
      <formula>"Aguarda o usuário"</formula>
    </cfRule>
  </conditionalFormatting>
  <dataValidations count="1">
    <dataValidation sqref="F2:F500" showDropDown="0" showInputMessage="0" showErrorMessage="0" allowBlank="1" type="list">
      <formula1>"Não iniciado,Autorizado (pré-trabalho),Em andamento,Concluído,Aguarda aprovação do plano,Cancelado (corte de escopo),Aguarda o usuário"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30" customWidth="1" style="51" min="2" max="2"/>
    <col width="14" customWidth="1" style="51" min="3" max="3"/>
    <col width="55" customWidth="1" style="51" min="4" max="4"/>
    <col width="9" customWidth="1" style="51" min="5" max="5"/>
    <col width="10" customWidth="1" style="51" min="6" max="6"/>
    <col width="55" customWidth="1" style="51" min="7" max="7"/>
    <col width="14" customWidth="1" style="51" min="8" max="8"/>
    <col width="26" customWidth="1" style="21" min="9" max="9"/>
    <col width="60" customWidth="1" style="21" min="10" max="10"/>
    <col width="9" customWidth="1" style="21" min="11" max="11"/>
  </cols>
  <sheetData>
    <row r="1" ht="23.85" customHeight="1" s="21">
      <c r="A1" s="85" t="inlineStr">
        <is>
          <t>ID flag</t>
        </is>
      </c>
      <c r="B1" s="85" t="inlineStr">
        <is>
          <t>Arquivo / grupo</t>
        </is>
      </c>
      <c r="C1" s="85" t="inlineStr">
        <is>
          <t>Linha(s)</t>
        </is>
      </c>
      <c r="D1" s="85" t="inlineStr">
        <is>
          <t>Afirmação citada</t>
        </is>
      </c>
      <c r="E1" s="85" t="inlineStr">
        <is>
          <t>Categoria</t>
        </is>
      </c>
      <c r="F1" s="85" t="inlineStr">
        <is>
          <t>Severidade</t>
        </is>
      </c>
      <c r="G1" s="85" t="inlineStr">
        <is>
          <t>Como verificar / o que o binário diz</t>
        </is>
      </c>
      <c r="H1" s="85" t="inlineStr">
        <is>
          <t>Status</t>
        </is>
      </c>
      <c r="I1" s="85" t="inlineStr">
        <is>
          <t>Resolução (2026-10-14)</t>
        </is>
      </c>
      <c r="J1" s="85" t="inlineStr">
        <is>
          <t>Evidência / próximo passo</t>
        </is>
      </c>
      <c r="K1" s="85" t="inlineStr">
        <is>
          <t>Parte</t>
        </is>
      </c>
    </row>
    <row r="2" ht="22.35" customHeight="1" s="21">
      <c r="A2" s="95" t="inlineStr">
        <is>
          <t>AUD-AP-01</t>
        </is>
      </c>
      <c r="B2" s="96" t="inlineStr">
        <is>
          <t>A1-ghidra/Q16-rev1-rev2-deltas.md</t>
        </is>
      </c>
      <c r="C2" s="96" t="inlineStr">
        <is>
          <t>73-74</t>
        </is>
      </c>
      <c r="D2" s="96" t="inlineStr">
        <is>
          <t>"Phase 1: 01 FF 1A … // CONTROL stream-connect; Phase 2: 00 FF 1A … // GET-STATUS confirm"</t>
        </is>
      </c>
      <c r="E2" s="96" t="inlineStr">
        <is>
          <t>4</t>
        </is>
      </c>
      <c r="F2" s="96" t="inlineStr">
        <is>
          <t>alta</t>
        </is>
      </c>
      <c r="G2" s="96" t="inlineStr">
        <is>
          <t>AV/C ctype 0x01 = STATUS, 0x00 = CONTROL: o 1º quadro é a consulta, o 2º é o CONTROL; e os bytes 4/5 do CONTROL vêm de GetAddressAndPlugForSyncType (vt[0xbc0]), não ficam FF FE.</t>
        </is>
      </c>
      <c r="H2" s="96" t="inlineStr">
        <is>
          <t>Resolvido</t>
        </is>
      </c>
      <c r="I2" s="96" t="inlineStr">
        <is>
          <t>Correction 2026-10-19 no Q16</t>
        </is>
      </c>
      <c r="J2" s="96" t="inlineStr">
        <is>
          <t>PROVENANCE-RESOLUTIONS.md §R77; A1-ghidra/Q-AP0-nub-and-rev2.md</t>
        </is>
      </c>
      <c r="K2" s="96" t="inlineStr">
        <is>
          <t>AP-0.2</t>
        </is>
      </c>
    </row>
    <row r="3" ht="32.8" customHeight="1" s="21">
      <c r="A3" s="95" t="inlineStr">
        <is>
          <t>AUD-AP-02</t>
        </is>
      </c>
      <c r="B3" s="96" t="inlineStr">
        <is>
          <t>A1-ghidra/Q16-rev1-rev2-deltas.md</t>
        </is>
      </c>
      <c r="C3" s="96" t="inlineStr">
        <is>
          <t>44, 82</t>
        </is>
      </c>
      <c r="D3" s="96" t="inlineStr">
        <is>
          <t>"5-way enum: {Internal:plug=0x60, S/PDIF:plug=0x81, ADAT:plug=0, WordClock:plug=0x83, Aux:plug=0x82}"</t>
        </is>
      </c>
      <c r="E3" s="96" t="inlineStr">
        <is>
          <t>1</t>
        </is>
      </c>
      <c r="F3" s="96" t="inlineStr">
        <is>
          <t>média</t>
        </is>
      </c>
      <c r="G3" s="96" t="inlineStr">
        <is>
          <t>Os nomes não estão no binário. No Audiophile o S/PDIF é o tipo 4 (FF 82) — SetClockSourceInternal @0xb9d4 e ctl-services normal.rs (Ext 0x02). 0x60 é o endereço (subunidade música), não o plug.</t>
        </is>
      </c>
      <c r="H3" s="96" t="inlineStr">
        <is>
          <t>Resolvido</t>
        </is>
      </c>
      <c r="I3" s="96" t="inlineStr">
        <is>
          <t>Correction 2026-10-19 no Q16</t>
        </is>
      </c>
      <c r="J3" s="96" t="inlineStr">
        <is>
          <t>PROVENANCE-RESOLUTIONS.md §R77; A1-ghidra/Q-AP0-nub-and-rev2.md</t>
        </is>
      </c>
      <c r="K3" s="96" t="inlineStr">
        <is>
          <t>AP-0.2</t>
        </is>
      </c>
    </row>
    <row r="4" ht="15" customHeight="1" s="21">
      <c r="A4" s="95" t="inlineStr">
        <is>
          <t>AUD-AP-03</t>
        </is>
      </c>
      <c r="B4" s="96" t="inlineStr">
        <is>
          <t>A1-ghidra/Q16-rev1-rev2-deltas.md</t>
        </is>
      </c>
      <c r="C4" s="96" t="inlineStr">
        <is>
          <t>39</t>
        </is>
      </c>
      <c r="D4" s="96" t="inlineStr">
        <is>
          <t>"Rev1 3-value: 44.1k/88.2k/96k→0xba(186), 48k→0x106(262), 176.4k/192k→0x124(292)"</t>
        </is>
      </c>
      <c r="E4" s="96" t="inlineStr">
        <is>
          <t>4</t>
        </is>
      </c>
      <c r="F4" s="96" t="inlineStr">
        <is>
          <t>baixa</t>
        </is>
      </c>
      <c r="G4" s="96" t="inlineStr">
        <is>
          <t>Decompile @0x136da: FDF1/2 (44.1/48) → 0xba; FDF3 (88.2) → 0x106; FDF4–6 (96/176.4/192) → 0x124; FDF0 → 0.</t>
        </is>
      </c>
      <c r="H4" s="96" t="inlineStr">
        <is>
          <t>Resolvido</t>
        </is>
      </c>
      <c r="I4" s="96" t="inlineStr">
        <is>
          <t>Correction 2026-10-19 no Q16 (asm 0x136da)</t>
        </is>
      </c>
      <c r="J4" s="96" t="inlineStr">
        <is>
          <t>PROVENANCE-RESOLUTIONS.md §R77; A1-ghidra/Q-AP0-nub-and-rev2.md</t>
        </is>
      </c>
      <c r="K4" s="96" t="inlineStr">
        <is>
          <t>AP-0.2</t>
        </is>
      </c>
    </row>
    <row r="5" ht="15" customHeight="1" s="21">
      <c r="A5" s="95" t="inlineStr">
        <is>
          <t>AUD-AP-04</t>
        </is>
      </c>
      <c r="B5" s="96" t="inlineStr">
        <is>
          <t>A1-ghidra/Q16-rev1-rev2-deltas.md</t>
        </is>
      </c>
      <c r="C5" s="96" t="inlineStr">
        <is>
          <t>80</t>
        </is>
      </c>
      <c r="D5" s="96" t="inlineStr">
        <is>
          <t>"(Audiophile = Rev2 too, Solo = Rev1)"</t>
        </is>
      </c>
      <c r="E5" s="96" t="inlineStr">
        <is>
          <t>4</t>
        </is>
      </c>
      <c r="F5" s="96" t="inlineStr">
        <is>
          <t>média</t>
        </is>
      </c>
      <c r="G5" s="96" t="inlineStr">
        <is>
          <t>Construtores de metaclasse: FWSoloDevice deriva de FWRev2AudioDevice (tabela da própria Correction do Q16).</t>
        </is>
      </c>
      <c r="H5" s="96" t="inlineStr">
        <is>
          <t>Resolvido</t>
        </is>
      </c>
      <c r="I5" s="96" t="inlineStr">
        <is>
          <t>Correction 2026-10-19 no Q16</t>
        </is>
      </c>
      <c r="J5" s="96" t="inlineStr">
        <is>
          <t>PROVENANCE-RESOLUTIONS.md §R77; A1-ghidra/Q-AP0-nub-and-rev2.md</t>
        </is>
      </c>
      <c r="K5" s="96" t="inlineStr">
        <is>
          <t>AP-0.2</t>
        </is>
      </c>
    </row>
    <row r="6" ht="32.8" customHeight="1" s="21">
      <c r="A6" s="95" t="inlineStr">
        <is>
          <t>AUD-AP-05</t>
        </is>
      </c>
      <c r="B6" s="96" t="inlineStr">
        <is>
          <t>audiophile-manual-reference.md</t>
        </is>
      </c>
      <c r="C6" s="96" t="inlineStr">
        <is>
          <t>31</t>
        </is>
      </c>
      <c r="D6" s="96" t="inlineStr">
        <is>
          <t>"the per-model device classes … match the nub by class alone … Which Model_IDs FWMetaNub::probe maps … was not read"</t>
        </is>
      </c>
      <c r="E6" s="96" t="inlineStr">
        <is>
          <t>4</t>
        </is>
      </c>
      <c r="F6" s="96" t="inlineStr">
        <is>
          <t>média</t>
        </is>
      </c>
      <c r="G6" s="96" t="inlineStr">
        <is>
          <t>Info.plist: cada personalidade casa por 'FireWire Product Name' (NRV-10 também Model_ID); probe @0x1ce62 usa nomes da kDeviceSpecs, não Model_ID.</t>
        </is>
      </c>
      <c r="H6" s="96" t="inlineStr">
        <is>
          <t>Resolvido</t>
        </is>
      </c>
      <c r="I6" s="96" t="inlineStr">
        <is>
          <t>Correction 2026-10-19 no audiophile-manual-reference</t>
        </is>
      </c>
      <c r="J6" s="96" t="inlineStr">
        <is>
          <t>PROVENANCE-RESOLUTIONS.md §R77; A1-ghidra/Q-AP0-nub-and-rev2.md</t>
        </is>
      </c>
      <c r="K6" s="96" t="inlineStr">
        <is>
          <t>AP-0.1</t>
        </is>
      </c>
    </row>
    <row r="7" ht="15" customHeight="1" s="21">
      <c r="A7" s="95" t="inlineStr">
        <is>
          <t>AUD-AP-06</t>
        </is>
      </c>
      <c r="B7" s="96" t="inlineStr">
        <is>
          <t>audiophile-manual-reference.md</t>
        </is>
      </c>
      <c r="C7" s="96" t="inlineStr">
        <is>
          <t>§8 item 2</t>
        </is>
      </c>
      <c r="D7" s="96" t="inlineStr">
        <is>
          <t>"FWMetaNub::probe's model table … unverified"</t>
        </is>
      </c>
      <c r="E7" s="96" t="inlineStr">
        <is>
          <t>1</t>
        </is>
      </c>
      <c r="F7" s="96" t="inlineStr">
        <is>
          <t>baixa</t>
        </is>
      </c>
      <c r="G7" s="96" t="inlineStr">
        <is>
          <t>Resolvido pelo decompile de probe/GetActualProductName e pelos bytes da tabela (AP-0.1.1–0.1.4).</t>
        </is>
      </c>
      <c r="H7" s="96" t="inlineStr">
        <is>
          <t>Resolvido</t>
        </is>
      </c>
      <c r="I7" s="96" t="inlineStr">
        <is>
          <t>§8 item 2 resolvido (Correction 2026-10-19)</t>
        </is>
      </c>
      <c r="J7" s="96" t="inlineStr">
        <is>
          <t>PROVENANCE-RESOLUTIONS.md §R77; A1-ghidra/Q-AP0-nub-and-rev2.md</t>
        </is>
      </c>
      <c r="K7" s="96" t="inlineStr">
        <is>
          <t>AP-0.1</t>
        </is>
      </c>
    </row>
    <row r="8" ht="22.35" customHeight="1" s="21">
      <c r="A8" s="95" t="inlineStr">
        <is>
          <t>AUD-AP-07</t>
        </is>
      </c>
      <c r="B8" s="96" t="inlineStr">
        <is>
          <t>BUILD_AUDIOPHILE_PLAN.md</t>
        </is>
      </c>
      <c r="C8" s="96" t="inlineStr">
        <is>
          <t>41</t>
        </is>
      </c>
      <c r="D8" s="96" t="inlineStr">
        <is>
          <t>"13 `MA*` keys only"</t>
        </is>
      </c>
      <c r="E8" s="96" t="inlineStr">
        <is>
          <t>5</t>
        </is>
      </c>
      <c r="F8" s="96" t="inlineStr">
        <is>
          <t>baixa</t>
        </is>
      </c>
      <c r="G8" s="96" t="inlineStr">
        <is>
          <t>A captura 90 tem 14 chaves (a própria lista do plano tem 14 nomes).</t>
        </is>
      </c>
      <c r="H8" s="96" t="inlineStr">
        <is>
          <t>Resolvido</t>
        </is>
      </c>
      <c r="I8" s="96" t="inlineStr">
        <is>
          <t>Corrigido no plano 2026-10-19</t>
        </is>
      </c>
      <c r="J8" s="96" t="inlineStr">
        <is>
          <t>—</t>
        </is>
      </c>
      <c r="K8" s="96" t="inlineStr">
        <is>
          <t>AP-0.6</t>
        </is>
      </c>
    </row>
    <row r="9" ht="15" customHeight="1" s="21">
      <c r="A9" s="95" t="inlineStr">
        <is>
          <t>AUD-AP-08</t>
        </is>
      </c>
      <c r="B9" s="96" t="inlineStr">
        <is>
          <t>A1-ghidra/Q10-roundtrip-latency.md</t>
        </is>
      </c>
      <c r="C9" s="96" t="inlineStr">
        <is>
          <t>11</t>
        </is>
      </c>
      <c r="D9" s="96" t="inlineStr">
        <is>
          <t>"a soft indicator that the Audiophile is only truly supported at 48k/88.2k/96k"</t>
        </is>
      </c>
      <c r="E9" s="96" t="inlineStr">
        <is>
          <t>1</t>
        </is>
      </c>
      <c r="F9" s="96" t="inlineStr">
        <is>
          <t>baixa</t>
        </is>
      </c>
      <c r="G9" s="96" t="inlineStr">
        <is>
          <t>O default 182 cobre 44.1k (FDF1); o manual e o v1.9 anunciam 44.1–96 kHz (captura 89). Inferência sem base.</t>
        </is>
      </c>
      <c r="H9" s="96" t="inlineStr">
        <is>
          <t>Resolvido</t>
        </is>
      </c>
      <c r="I9" s="96" t="inlineStr">
        <is>
          <t>Correction 2026-10-19 no Q10</t>
        </is>
      </c>
      <c r="J9" s="96" t="inlineStr">
        <is>
          <t>PROVENANCE-RESOLUTIONS.md §R77; A1-ghidra/Q-AP0-nub-and-rev2.md</t>
        </is>
      </c>
      <c r="K9" s="96" t="inlineStr">
        <is>
          <t>AP-0.2</t>
        </is>
      </c>
    </row>
    <row r="10" ht="15" customHeight="1" s="21">
      <c r="A10" s="95" t="inlineStr">
        <is>
          <t>AUD-AP-09</t>
        </is>
      </c>
      <c r="B10" s="96" t="inlineStr">
        <is>
          <t>A1-ghidra/Q-AP0-nub-and-rev2.md</t>
        </is>
      </c>
      <c r="C10" s="96" t="inlineStr">
        <is>
          <t>§2.3, §4</t>
        </is>
      </c>
      <c r="D10" s="96" t="inlineStr">
        <is>
          <t>"Under the lock of [+0xe8]" / "+0xe8 lock object"</t>
        </is>
      </c>
      <c r="E10" s="96" t="inlineStr">
        <is>
          <t>1</t>
        </is>
      </c>
      <c r="F10" s="96" t="inlineStr">
        <is>
          <t>baixa</t>
        </is>
      </c>
      <c r="G10" s="96" t="inlineStr">
        <is>
          <t>[+0xe8] é o engine principal; vt[0xa50]/[0xa58] = pauseAudioEngine/resumeAudioEngine.</t>
        </is>
      </c>
      <c r="H10" s="96" t="inlineStr">
        <is>
          <t>Resolvido</t>
        </is>
      </c>
      <c r="I10" s="96" t="inlineStr">
        <is>
          <t>Corrigido 2026-10-19 (R85) no Q-AP0 §2.3/§4</t>
        </is>
      </c>
      <c r="J10" s="96" t="inlineStr">
        <is>
          <t>vtables-engine-device-stream.txt slots 0xa50/0xa58</t>
        </is>
      </c>
      <c r="K10" s="96" t="inlineStr">
        <is>
          <t>AP-0.2</t>
        </is>
      </c>
    </row>
    <row r="11" ht="22.35" customHeight="1" s="21"/>
    <row r="12" ht="22.35" customHeight="1" s="21"/>
    <row r="13" ht="15" customHeight="1" s="21"/>
    <row r="14" ht="15" customHeight="1" s="21"/>
    <row r="15" ht="22.35" customHeight="1" s="21"/>
    <row r="16" ht="22.35" customHeight="1" s="21"/>
    <row r="17" ht="22.35" customHeight="1" s="21"/>
    <row r="18" ht="15" customHeight="1" s="21"/>
    <row r="19" ht="15" customHeight="1" s="21"/>
    <row r="20" ht="22.35" customHeight="1" s="21"/>
    <row r="21" ht="22.35" customHeight="1" s="21"/>
    <row r="22" ht="15" customHeight="1" s="21"/>
    <row r="23" ht="15" customHeight="1" s="21"/>
    <row r="24" ht="15" customHeight="1" s="21"/>
    <row r="25" ht="22.35" customHeight="1" s="21"/>
    <row r="26" ht="15" customHeight="1" s="21"/>
    <row r="27" ht="22.35" customHeight="1" s="21"/>
    <row r="28" ht="22.35" customHeight="1" s="21"/>
    <row r="29" ht="15" customHeight="1" s="21"/>
    <row r="30" ht="22.35" customHeight="1" s="21"/>
    <row r="31" ht="15" customHeight="1" s="21"/>
    <row r="32" ht="15" customHeight="1" s="21"/>
    <row r="33" ht="22.35" customHeight="1" s="21"/>
    <row r="34" ht="15" customHeight="1" s="21"/>
    <row r="35" ht="22.35" customHeight="1" s="21"/>
    <row r="36" ht="22.35" customHeight="1" s="21"/>
    <row r="37" ht="22.35" customHeight="1" s="21"/>
    <row r="38" ht="15" customHeight="1" s="21"/>
    <row r="39" ht="22.35" customHeight="1" s="21"/>
    <row r="40" ht="22.35" customHeight="1" s="21"/>
    <row r="41" ht="22.35" customHeight="1" s="21"/>
    <row r="42" ht="22.35" customHeight="1" s="21"/>
    <row r="43" ht="15" customHeight="1" s="21"/>
    <row r="44" ht="22.35" customHeight="1" s="21"/>
    <row r="45" ht="15" customHeight="1" s="21"/>
    <row r="46" ht="22.35" customHeight="1" s="21"/>
    <row r="47" ht="15" customHeight="1" s="21"/>
    <row r="48" ht="22.35" customHeight="1" s="21"/>
    <row r="49" ht="15" customHeight="1" s="21"/>
    <row r="50" ht="15" customHeight="1" s="21"/>
    <row r="51" ht="15" customHeight="1" s="21"/>
    <row r="52" ht="22.35" customHeight="1" s="21"/>
    <row r="53" ht="15" customHeight="1" s="21"/>
    <row r="54" ht="22.35" customHeight="1" s="21"/>
    <row r="55" ht="22.35" customHeight="1" s="21"/>
    <row r="56" ht="22.35" customHeight="1" s="21"/>
    <row r="57" ht="15" customHeight="1" s="21"/>
    <row r="58" ht="15" customHeight="1" s="21"/>
    <row r="59" ht="22.35" customHeight="1" s="21"/>
    <row r="60" ht="22.35" customHeight="1" s="21"/>
    <row r="61" ht="22.35" customHeight="1" s="21"/>
    <row r="62" ht="15" customHeight="1" s="21"/>
    <row r="63" ht="22.35" customHeight="1" s="21"/>
    <row r="64" ht="22.35" customHeight="1" s="21"/>
    <row r="65" ht="22.35" customHeight="1" s="21"/>
    <row r="66" ht="15" customHeight="1" s="21"/>
    <row r="67" ht="15" customHeight="1" s="21"/>
    <row r="68" ht="22.35" customHeight="1" s="21"/>
    <row r="69" ht="22.35" customHeight="1" s="21"/>
    <row r="70" ht="22.35" customHeight="1" s="21"/>
    <row r="71" ht="15" customHeight="1" s="21"/>
    <row r="72" ht="15" customHeight="1" s="21"/>
    <row r="73" ht="15" customHeight="1" s="21"/>
    <row r="74" ht="15" customHeight="1" s="21"/>
    <row r="75" ht="15" customHeight="1" s="21"/>
    <row r="76" ht="15" customHeight="1" s="21"/>
    <row r="77" ht="15" customHeight="1" s="21"/>
    <row r="78" ht="15" customHeight="1" s="21"/>
    <row r="79" ht="15" customHeight="1" s="21"/>
    <row r="80" ht="15" customHeight="1" s="21"/>
    <row r="81" ht="15" customHeight="1" s="21"/>
    <row r="82" ht="15" customHeight="1" s="21"/>
    <row r="83" ht="43.25" customHeight="1" s="21"/>
    <row r="84" ht="43.25" customHeight="1" s="21"/>
    <row r="85" ht="43.25" customHeight="1" s="21"/>
    <row r="86" ht="43.25" customHeight="1" s="21"/>
    <row r="87" ht="43.25" customHeight="1" s="21"/>
    <row r="88" ht="43.25" customHeight="1" s="21"/>
    <row r="89" ht="43.25" customHeight="1" s="21"/>
    <row r="90" ht="43.25" customHeight="1" s="21"/>
    <row r="91" ht="22.35" customHeight="1" s="21"/>
    <row r="92" ht="22.35" customHeight="1" s="21"/>
    <row r="93" ht="22.35" customHeight="1" s="21"/>
    <row r="94" ht="22.35" customHeight="1" s="21"/>
    <row r="95" ht="22.35" customHeight="1" s="21"/>
    <row r="96" ht="22.35" customHeight="1" s="21"/>
    <row r="97" ht="22.35" customHeight="1" s="21"/>
    <row r="98" ht="15" customHeight="1" s="21"/>
    <row r="99" ht="15" customHeight="1" s="21"/>
    <row r="100" ht="22.35" customHeight="1" s="21"/>
    <row r="101" ht="22.35" customHeight="1" s="21"/>
    <row r="102" ht="15" customHeight="1" s="21"/>
    <row r="103" ht="15" customHeight="1" s="21"/>
    <row r="104" ht="22.35" customHeight="1" s="21"/>
    <row r="105" ht="15" customHeight="1" s="21"/>
    <row r="106" ht="22.35" customHeight="1" s="21"/>
    <row r="107" ht="15" customHeight="1" s="21"/>
    <row r="108" ht="22.35" customHeight="1" s="21"/>
    <row r="109" ht="15" customHeight="1" s="21"/>
    <row r="110" ht="15" customHeight="1" s="21"/>
    <row r="111" ht="32.8" customHeight="1" s="21"/>
    <row r="112" ht="22.35" customHeight="1" s="21"/>
    <row r="113" ht="15" customHeight="1" s="21"/>
    <row r="114" ht="15" customHeight="1" s="21"/>
    <row r="115" ht="22.35" customHeight="1" s="21"/>
    <row r="116" ht="15" customHeight="1" s="21"/>
    <row r="117" ht="22.35" customHeight="1" s="21"/>
    <row r="118" ht="15" customHeight="1" s="21"/>
    <row r="119" ht="15" customHeight="1" s="21"/>
    <row r="120" ht="22.35" customHeight="1" s="21"/>
    <row r="121" ht="22.35" customHeight="1" s="21"/>
    <row r="122" ht="22.35" customHeight="1" s="21"/>
    <row r="123" ht="22.35" customHeight="1" s="21"/>
    <row r="124" ht="22.35" customHeight="1" s="21"/>
    <row r="125" ht="22.35" customHeight="1" s="21"/>
    <row r="126" ht="22.35" customHeight="1" s="21"/>
    <row r="127" ht="22.35" customHeight="1" s="21"/>
    <row r="129" ht="15" customHeight="1" s="21"/>
  </sheetData>
  <autoFilter ref="A1:K10"/>
  <conditionalFormatting sqref="H2:H500">
    <cfRule type="cellIs" priority="1" operator="equal" dxfId="13">
      <formula>"Resolvido"</formula>
    </cfRule>
    <cfRule type="cellIs" priority="2" operator="equal" dxfId="14">
      <formula>"Rotulado"</formula>
    </cfRule>
    <cfRule type="cellIs" priority="3" operator="equal" dxfId="15">
      <formula>"Aberto"</formula>
    </cfRule>
  </conditionalFormatting>
  <dataValidations count="2">
    <dataValidation sqref="H2:H500" showDropDown="0" showInputMessage="0" showErrorMessage="0" allowBlank="1" type="list">
      <formula1>"Aberto,Rotulado,Resolvido,Não procede"</formula1>
    </dataValidation>
    <dataValidation sqref="F2:F500" showDropDown="0" showInputMessage="0" showErrorMessage="0" allowBlank="1" type="list">
      <formula1>"alta,média,baixa"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1" min="1" max="2"/>
    <col width="10" customWidth="1" style="51" min="3" max="3"/>
    <col width="25" customWidth="1" style="51" min="4" max="6"/>
  </cols>
  <sheetData>
    <row r="1" ht="15" customHeight="1" s="21">
      <c r="A1" s="71" t="inlineStr">
        <is>
          <t>Legenda e método de pontuação</t>
        </is>
      </c>
    </row>
    <row r="3" ht="15" customHeight="1" s="21">
      <c r="A3" s="59" t="inlineStr">
        <is>
          <t>Pesos da nota de confiança (edite os valores azuis; a coluna L da aba Itens recalcula)</t>
        </is>
      </c>
    </row>
    <row r="4" ht="15" customHeight="1" s="21">
      <c r="A4" s="62" t="inlineStr">
        <is>
          <t>Byte-level confirmado = Sim</t>
        </is>
      </c>
      <c r="C4" s="72" t="n">
        <v>3</v>
      </c>
    </row>
    <row r="5" ht="15" customHeight="1" s="21">
      <c r="A5" s="62" t="inlineStr">
        <is>
          <t>Byte-level confirmado = Parcial</t>
        </is>
      </c>
      <c r="C5" s="72" t="n">
        <v>1.5</v>
      </c>
    </row>
    <row r="6" ht="15" customHeight="1" s="21">
      <c r="A6" s="62" t="inlineStr">
        <is>
          <t>Hardware live = Sim</t>
        </is>
      </c>
      <c r="C6" s="72" t="n">
        <v>3</v>
      </c>
    </row>
    <row r="7" ht="15" customHeight="1" s="21">
      <c r="A7" s="62" t="inlineStr">
        <is>
          <t>Hardware live = Parcial</t>
        </is>
      </c>
      <c r="C7" s="72" t="n">
        <v>1.5</v>
      </c>
    </row>
    <row r="8" ht="15" customHeight="1" s="21">
      <c r="A8" s="62" t="inlineStr">
        <is>
          <t>Ferramenta = otool + Ghidra</t>
        </is>
      </c>
      <c r="C8" s="72" t="n">
        <v>2</v>
      </c>
    </row>
    <row r="9" ht="15" customHeight="1" s="21">
      <c r="A9" s="62" t="inlineStr">
        <is>
          <t>Ferramenta = otool, Ghidra ou Outro binário</t>
        </is>
      </c>
      <c r="C9" s="72" t="n">
        <v>1</v>
      </c>
    </row>
    <row r="10" ht="15" customHeight="1" s="21">
      <c r="A10" s="62" t="inlineStr">
        <is>
          <t>Por fonte adicional (a partir da 2ª)</t>
        </is>
      </c>
      <c r="C10" s="72" t="n">
        <v>1</v>
      </c>
    </row>
    <row r="11" ht="15" customHeight="1" s="21">
      <c r="A11" s="62" t="inlineStr">
        <is>
          <t>Máximo de pontos por cruzamento</t>
        </is>
      </c>
      <c r="C11" s="72" t="n">
        <v>2</v>
      </c>
    </row>
    <row r="12" ht="15" customHeight="1" s="21">
      <c r="A12" s="62" t="inlineStr">
        <is>
          <t>Teto se Especulativo = Sim</t>
        </is>
      </c>
      <c r="C12" s="72" t="n">
        <v>3</v>
      </c>
    </row>
    <row r="13" ht="15" customHeight="1" s="21">
      <c r="A13" s="62" t="inlineStr">
        <is>
          <t>Teto se Especulativo = Parcial</t>
        </is>
      </c>
      <c r="C13" s="72" t="n">
        <v>6</v>
      </c>
    </row>
    <row r="16" ht="15" customHeight="1" s="21">
      <c r="A16" s="59" t="inlineStr">
        <is>
          <t>Fórmula</t>
        </is>
      </c>
    </row>
    <row r="17" ht="42" customHeight="1" s="21">
      <c r="A17" s="73" t="inlineStr">
        <is>
          <t>Base = byte + live + ferramenta + MIN(máx. cruzamento, (Nº de fontes − 1) × peso por fonte), limitada a 10. Depois aplica o teto do Especulativo. A nota mede o quanto o item está ancorado no binário v1.11.x e no hardware, não o quanto ele importa.</t>
        </is>
      </c>
    </row>
    <row r="19" ht="15" customHeight="1" s="21">
      <c r="A19" s="59" t="inlineStr">
        <is>
          <t>Colunas</t>
        </is>
      </c>
    </row>
    <row r="20" ht="30" customHeight="1" s="21">
      <c r="A20" s="59" t="inlineStr">
        <is>
          <t>ID</t>
        </is>
      </c>
      <c r="B20" s="74" t="inlineStr">
        <is>
          <t>Código do item: AP-0.n.k = tarefa AP-0.n do plano, item k. Parte = a tarefa; Sub-ramo = 'AP-0'.</t>
        </is>
      </c>
    </row>
    <row r="21" ht="30" customHeight="1" s="21">
      <c r="A21" s="59" t="inlineStr">
        <is>
          <t>Byte-level confirmado</t>
        </is>
      </c>
      <c r="B21" s="74" t="inlineStr">
        <is>
          <t>Sim = lido no nível de instrução ou byte (asm, bytes da fatia, vtable, plist, header do SDK). Parcial = decompile Ghidra ou leitura indireta. Não = sem leitura do binário.</t>
        </is>
      </c>
    </row>
    <row r="22" ht="30" customHeight="1" s="21">
      <c r="A22" s="59" t="inlineStr">
        <is>
          <t>Hardware live</t>
        </is>
      </c>
      <c r="B22" s="74" t="inlineStr">
        <is>
          <t>Sim = observado em hardware real (capturas B5 no SL v1.9, logs de pânico do build PC, experimentos registrados). Parcial = observação indireta ou só do clone antigo.</t>
        </is>
      </c>
    </row>
    <row r="23" ht="30" customHeight="1" s="21">
      <c r="A23" s="59" t="inlineStr">
        <is>
          <t>Ferramenta</t>
        </is>
      </c>
      <c r="B23" s="74" t="inlineStr">
        <is>
          <t>otool + Ghidra / otool / Ghidra / Outro binário (nm, plist, bytes via python, SDK) / Nenhum.</t>
        </is>
      </c>
    </row>
    <row r="24" ht="30" customHeight="1" s="21">
      <c r="A24" s="59" t="inlineStr">
        <is>
          <t>Especulativo</t>
        </is>
      </c>
      <c r="B24" s="74" t="inlineStr">
        <is>
          <t>Sim = hipótese sem prova; Parcial = parte do item é inferência.</t>
        </is>
      </c>
    </row>
    <row r="25" ht="30" customHeight="1" s="21">
      <c r="A25" s="59" t="inlineStr">
        <is>
          <t>Fontes / cruzamentos</t>
        </is>
      </c>
      <c r="B25" s="74" t="inlineStr">
        <is>
          <t>Lista separada por ';' de evidências independentes. A coluna 'Nº de fontes' conta automaticamente.</t>
        </is>
      </c>
    </row>
    <row r="26" ht="30" customHeight="1" s="21">
      <c r="A26" s="59" t="inlineStr">
        <is>
          <t>Status documental</t>
        </is>
      </c>
      <c r="B26" s="74" t="inlineStr">
        <is>
          <t>Consistente / Corrigido (com bloco Correction) / Correção pendente (audit: algum .md ainda tem a afirmação errada) / Aberto / Não auditado.</t>
        </is>
      </c>
    </row>
    <row r="27" ht="30" customHeight="1" s="21">
      <c r="A27" s="59" t="inlineStr">
        <is>
          <t>Flags do audit</t>
        </is>
      </c>
      <c r="B27" s="74" t="inlineStr">
        <is>
          <t>Linhas citadas no PROVENANCE-AUDIT.md; detalhe na aba Flags_auditoria.</t>
        </is>
      </c>
    </row>
    <row r="29" ht="15" customHeight="1" s="21">
      <c r="A29" s="59" t="inlineStr">
        <is>
          <t>Fontes</t>
        </is>
      </c>
    </row>
    <row r="30" ht="42" customHeight="1" s="21">
      <c r="A30" s="73" t="inlineStr">
        <is>
          <t>docs/audiophile-manual-reference.md; docs/BUILD_AUDIOPHILE_PLAN_v3.md; docs/system-map/A1-ghidra/ghidra-exports/decomp/ (tag ap0, 2026-10-19); otool-exports/mafw.asm; B5-sl-dtrace-truth/captures/89, 89b, 90 (SL v1.9 + Audiophile); _extracted/kext Info.plist; _refs/snd-firewire-ctl-services, _refs/linux-snd-bebob, _refs/ffado.</t>
        </is>
      </c>
    </row>
    <row r="32">
      <c r="A32" s="51" t="inlineStr">
        <is>
          <t>Aba Build</t>
        </is>
      </c>
      <c r="B32" s="51" t="inlineStr">
        <is>
          <t>Uma linha por tarefa do docs/BUILD_AUDIOPHILE_PLAN_v3.md (AP-n.m; Pacote = fase 0–8) e uma por decisão pendente (DEC-Qn). Status: Não iniciado / Em andamento / Concluído / Aguarda o usuário / Cancelado (corte de escopo). Notas datadas [AAAA-MM-DD].</t>
        </is>
      </c>
    </row>
  </sheetData>
  <mergeCells count="10">
    <mergeCell ref="B21:F21"/>
    <mergeCell ref="B24:F24"/>
    <mergeCell ref="B20:F20"/>
    <mergeCell ref="B25:F25"/>
    <mergeCell ref="A17:F17"/>
    <mergeCell ref="B23:F23"/>
    <mergeCell ref="B22:F22"/>
    <mergeCell ref="A30:F30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2026-10-14T13:36:08Z</dcterms:created>
  <dcterms:modified xsi:type="dcterms:W3CDTF">2026-10-21T04:40:14Z</dcterms:modified>
  <cp:revision>0</cp:revision>
</cp:coreProperties>
</file>