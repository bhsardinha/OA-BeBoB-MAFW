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" sheetId="1" state="visible" r:id="rId1"/>
    <sheet name="Resumo" sheetId="2" state="visible" r:id="rId2"/>
    <sheet name="Itens" sheetId="3" state="visible" r:id="rId3"/>
    <sheet name="Build" sheetId="4" state="visible" r:id="rId4"/>
    <sheet name="Flags_auditoria" sheetId="5" state="visible" r:id="rId5"/>
    <sheet name="Legenda" sheetId="6" state="visible" r:id="rId6"/>
  </sheets>
  <definedNames>
    <definedName name="_xlnm._FilterDatabase" localSheetId="2" hidden="1">'Itens'!$A$1:$P$60</definedName>
    <definedName name="_xlnm._FilterDatabase" localSheetId="3" hidden="1">'Build'!$A$1:$I$55</definedName>
    <definedName name="_xlnm._FilterDatabase" localSheetId="4" hidden="1">'Flags_auditoria'!$A$1:$K$10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sz val="9"/>
    </font>
    <font>
      <b val="1"/>
      <color rgb="00FFFFFF"/>
    </font>
    <font>
      <name val="Arial"/>
      <b val="1"/>
      <sz val="9"/>
    </font>
    <font>
      <name val="Arial"/>
      <sz val="9"/>
    </font>
    <font>
      <name val="Arial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6" fillId="5" borderId="2" applyAlignment="1" pivotButton="0" quotePrefix="0" xfId="0">
      <alignment vertical="top" wrapText="1"/>
    </xf>
    <xf numFmtId="1" fontId="16" fillId="0" borderId="2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9" fontId="17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vertical="top" wrapText="1"/>
    </xf>
    <xf numFmtId="0" fontId="0" fillId="0" borderId="9" pivotButton="0" quotePrefix="0" xfId="0"/>
    <xf numFmtId="9" fontId="16" fillId="0" borderId="2" applyAlignment="1" pivotButton="0" quotePrefix="0" xfId="0">
      <alignment horizontal="left" vertical="top"/>
    </xf>
    <xf numFmtId="0" fontId="16" fillId="6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6" fillId="7" borderId="2" applyAlignment="1" pivotButton="0" quotePrefix="0" xfId="0">
      <alignment vertical="top" wrapText="1"/>
    </xf>
    <xf numFmtId="164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center" vertical="top" wrapText="1"/>
    </xf>
    <xf numFmtId="9" fontId="16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center" vertical="top" wrapText="1"/>
    </xf>
    <xf numFmtId="1" fontId="13" fillId="0" borderId="2" applyAlignment="1" pivotButton="0" quotePrefix="0" xfId="0">
      <alignment horizontal="center" vertical="top" wrapText="1"/>
    </xf>
    <xf numFmtId="164" fontId="13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3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49" fontId="16" fillId="0" borderId="2" applyAlignment="1" pivotButton="0" quotePrefix="0" xfId="0">
      <alignment horizontal="left" vertical="top"/>
    </xf>
    <xf numFmtId="0" fontId="1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2" fillId="0" borderId="0" pivotButton="0" quotePrefix="0" xfId="0"/>
    <xf numFmtId="0" fontId="16" fillId="4" borderId="0" pivotButton="0" quotePrefix="0" xfId="0"/>
    <xf numFmtId="1" fontId="16" fillId="0" borderId="2" applyAlignment="1" pivotButton="0" quotePrefix="0" xfId="0">
      <alignment horizontal="left"/>
    </xf>
    <xf numFmtId="0" fontId="16" fillId="6" borderId="0" pivotButton="0" quotePrefix="0" xfId="0"/>
    <xf numFmtId="9" fontId="16" fillId="0" borderId="2" applyAlignment="1" pivotButton="0" quotePrefix="0" xfId="0">
      <alignment horizontal="left"/>
    </xf>
    <xf numFmtId="164" fontId="16" fillId="0" borderId="2" applyAlignment="1" pivotButton="0" quotePrefix="0" xfId="0">
      <alignment horizontal="left"/>
    </xf>
    <xf numFmtId="49" fontId="16" fillId="0" borderId="2" applyAlignment="1" pivotButton="0" quotePrefix="0" xfId="0">
      <alignment horizontal="left"/>
    </xf>
    <xf numFmtId="0" fontId="12" fillId="3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9" fontId="13" fillId="0" borderId="2" applyAlignment="1" pivotButton="0" quotePrefix="0" xfId="0">
      <alignment vertical="top" wrapText="1"/>
    </xf>
    <xf numFmtId="0" fontId="17" fillId="0" borderId="0" pivotButton="0" quotePrefix="0" xfId="0"/>
    <xf numFmtId="0" fontId="16" fillId="0" borderId="2" pivotButton="0" quotePrefix="0" xfId="0"/>
    <xf numFmtId="0" fontId="13" fillId="0" borderId="2" pivotButton="0" quotePrefix="0" xfId="0"/>
    <xf numFmtId="164" fontId="13" fillId="0" borderId="2" pivotButton="0" quotePrefix="0" xfId="0"/>
    <xf numFmtId="0" fontId="16" fillId="0" borderId="0" pivotButton="0" quotePrefix="0" xfId="0"/>
    <xf numFmtId="164" fontId="16" fillId="0" borderId="2" pivotButton="0" quotePrefix="0" xfId="0"/>
    <xf numFmtId="0" fontId="12" fillId="3" borderId="2" pivotButton="0" quotePrefix="0" xfId="0"/>
    <xf numFmtId="0" fontId="20" fillId="0" borderId="2" applyAlignment="1" pivotButton="0" quotePrefix="0" xfId="0">
      <alignment vertical="top" wrapText="1"/>
    </xf>
    <xf numFmtId="0" fontId="21" fillId="0" borderId="2" applyAlignment="1" pivotButton="0" quotePrefix="0" xfId="0">
      <alignment vertical="top" wrapText="1"/>
    </xf>
    <xf numFmtId="164" fontId="21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21" min="1" max="1"/>
    <col width="40" customWidth="1" style="21" min="2" max="2"/>
    <col width="16" customWidth="1" style="21" min="3" max="3"/>
    <col width="10" customWidth="1" style="21" min="4" max="4"/>
    <col width="10" customWidth="1" style="21" min="5" max="5"/>
    <col width="10" customWidth="1" style="21" min="6" max="6"/>
    <col width="12" customWidth="1" style="21" min="7" max="7"/>
    <col width="50" customWidth="1" style="21" min="8" max="8"/>
    <col width="30" customWidth="1" style="21" min="9" max="9"/>
  </cols>
  <sheetData>
    <row r="1">
      <c r="A1" s="22" t="inlineStr">
        <is>
          <t>Painel — FireWire 410 (openaudio-mafw-bebob, branch fw410)</t>
        </is>
      </c>
    </row>
    <row r="2">
      <c r="A2" s="78" t="inlineStr">
        <is>
          <t>2026-10-26</t>
        </is>
      </c>
    </row>
    <row r="4">
      <c r="A4" s="79" t="inlineStr">
        <is>
          <t>Visão geral</t>
        </is>
      </c>
    </row>
    <row r="5">
      <c r="A5" s="25" t="inlineStr">
        <is>
          <t>Itens rastreados</t>
        </is>
      </c>
      <c r="B5" s="80">
        <f>COUNTA(Itens!$A$2:$A$500)</f>
        <v/>
      </c>
      <c r="D5" s="81" t="inlineStr">
        <is>
          <t>ONDE ESTAMOS</t>
        </is>
      </c>
    </row>
    <row r="6">
      <c r="A6" s="25" t="inlineStr">
        <is>
          <t>Itens fechados</t>
        </is>
      </c>
      <c r="B6" s="80">
        <f>COUNTIF(Itens!$K$2:$K$500,"Consistente")+COUNTIF(Itens!$K$2:$K$500,"Corrigido*")</f>
        <v/>
      </c>
      <c r="D6" s="70" t="inlineStr">
        <is>
          <t>0.4.0 Classic (driver 0.3.0, painel 1.6) instalado no iMac com o FW410: attach, todas as saídas (44.1-192), gravação, latência, stereo pairs, mixer, encoder, volume de fones (capturas 105-106). Bit 5 dos fones = aux (desvio R138).</t>
        </is>
      </c>
    </row>
    <row r="7">
      <c r="A7" s="25" t="inlineStr">
        <is>
          <t>% itens fechados</t>
        </is>
      </c>
      <c r="B7" s="82">
        <f>IFERROR(B6/B5,0)</f>
        <v/>
      </c>
    </row>
    <row r="8">
      <c r="A8" s="25" t="inlineStr">
        <is>
          <t>Itens abertos</t>
        </is>
      </c>
      <c r="B8" s="80">
        <f>COUNTIF(Itens!$K$2:$K$500,"Aberto / não resolvido")</f>
        <v/>
      </c>
    </row>
    <row r="9">
      <c r="A9" s="25" t="inlineStr">
        <is>
          <t>Correções pendentes</t>
        </is>
      </c>
      <c r="B9" s="80">
        <f>COUNTIF(Itens!$K$2:$K$500,"Correção pendente (audit)")</f>
        <v/>
      </c>
    </row>
    <row r="10">
      <c r="A10" s="25" t="inlineStr">
        <is>
          <t>Flags abertas</t>
        </is>
      </c>
      <c r="B10" s="80">
        <f>COUNTIF(Flags_auditoria!$H$2:$H$500,"Aberto")</f>
        <v/>
      </c>
      <c r="D10" s="81" t="inlineStr">
        <is>
          <t>PARA ONDE VAMOS</t>
        </is>
      </c>
    </row>
    <row r="11">
      <c r="A11" s="25" t="inlineStr">
        <is>
          <t>Confiança média (0–10)</t>
        </is>
      </c>
      <c r="B11" s="83">
        <f>IFERROR(AVERAGE(Itens!$L$2:$L$500),0)</f>
        <v/>
      </c>
      <c r="D11" s="70" t="inlineStr">
        <is>
          <t>Pendente (sob decisão do usuário): MIDI, S/PDIF/sync externo, óptico, sleep/wake; vazamento FWHsci no kextunload (R138); edição Modern; README/release.</t>
        </is>
      </c>
    </row>
    <row r="12">
      <c r="A12" s="25" t="inlineStr">
        <is>
          <t>Tarefas concluídas</t>
        </is>
      </c>
      <c r="B12" s="84">
        <f>COUNTIF(Build!$F$2:$F$500,"Concluído")&amp;" / "&amp;(COUNTA(Build!$A$2:$A$500)-(COUNTIF(Build!$F$2:$F$500,"Cancelado*")+COUNTIF(Build!$F$2:$F$500,"Sob demanda*")))</f>
        <v/>
      </c>
    </row>
    <row r="13">
      <c r="A13" s="25" t="inlineStr">
        <is>
          <t>Aguardando você</t>
        </is>
      </c>
      <c r="B13" s="80">
        <f>COUNTIF(Build!$F$2:$F$500,"Aguarda o usuário")</f>
        <v/>
      </c>
    </row>
    <row r="14">
      <c r="A14" s="25" t="inlineStr">
        <is>
          <t>Progresso do build</t>
        </is>
      </c>
      <c r="B14" s="82">
        <f>IFERROR(COUNTIF(Build!$F$2:$F$500,"Concluído")/(COUNTA(Build!$A$2:$A$500)-(COUNTIF(Build!$F$2:$F$500,"Cancelado*")+COUNTIF(Build!$F$2:$F$500,"Sob demanda*"))),0)</f>
        <v/>
      </c>
    </row>
    <row r="17">
      <c r="A17" s="79" t="inlineStr">
        <is>
          <t>Roadmap por fase (aba Build)</t>
        </is>
      </c>
    </row>
    <row r="18">
      <c r="A18" s="85" t="inlineStr">
        <is>
          <t>Fase</t>
        </is>
      </c>
      <c r="B18" s="85" t="inlineStr">
        <is>
          <t>Conteúdo</t>
        </is>
      </c>
      <c r="C18" s="85" t="inlineStr">
        <is>
          <t>Estado</t>
        </is>
      </c>
      <c r="D18" s="85" t="inlineStr">
        <is>
          <t>% pronto</t>
        </is>
      </c>
      <c r="E18" s="85" t="inlineStr">
        <is>
          <t>Tarefas</t>
        </is>
      </c>
      <c r="F18" s="85" t="inlineStr">
        <is>
          <t>Concluídas</t>
        </is>
      </c>
      <c r="G18" s="85" t="inlineStr">
        <is>
          <t>Aguardam você</t>
        </is>
      </c>
      <c r="H18" s="85" t="inlineStr">
        <is>
          <t>Próximo passo</t>
        </is>
      </c>
      <c r="I18" s="85" t="inlineStr">
        <is>
          <t>Sessões (plano §8)</t>
        </is>
      </c>
    </row>
    <row r="19">
      <c r="A19" s="86" t="inlineStr">
        <is>
          <t>Decisão</t>
        </is>
      </c>
      <c r="B19" s="34" t="inlineStr">
        <is>
          <t>Decisões DEC-1..4 do plano §9</t>
        </is>
      </c>
      <c r="C19" s="86">
        <f>IF(COUNTIFS(Build!$B$2:$B$500,A19,Build!$F$2:$F$500,"Concluído")=(COUNTIF(Build!$B$2:$B$500,A19)-(COUNTIFS(Build!$B$2:$B$500,A19,Build!$F$2:$F$500,"Cancelado*")+COUNTIFS(Build!$B$2:$B$500,A19,Build!$F$2:$F$500,"Sob demanda*"))),"Concluído",IF(COUNTIFS(Build!$B$2:$B$500,A19,Build!$F$2:$F$500,"Em andamento")+COUNTIFS(Build!$B$2:$B$500,A19,Build!$F$2:$F$500,"Concluído")&gt;0,"Em andamento",IF(COUNTIFS(Build!$B$2:$B$500,A19,Build!$F$2:$F$500,"Aguarda o usuário")&gt;0,"Aguarda você","Não iniciado")))</f>
        <v/>
      </c>
      <c r="D19" s="87">
        <f>IFERROR(COUNTIFS(Build!$B$2:$B$500,A19,Build!$F$2:$F$500,"Concluído")/(COUNTIF(Build!$B$2:$B$500,A19)-(COUNTIFS(Build!$B$2:$B$500,A19,Build!$F$2:$F$500,"Cancelado*")+COUNTIFS(Build!$B$2:$B$500,A19,Build!$F$2:$F$500,"Sob demanda*"))),0)</f>
        <v/>
      </c>
      <c r="E19" s="34">
        <f>(COUNTIF(Build!$B$2:$B$500,A19)-(COUNTIFS(Build!$B$2:$B$500,A19,Build!$F$2:$F$500,"Cancelado*")+COUNTIFS(Build!$B$2:$B$500,A19,Build!$F$2:$F$500,"Sob demanda*")))</f>
        <v/>
      </c>
      <c r="F19" s="34">
        <f>COUNTIFS(Build!$B$2:$B$500,A19,Build!$F$2:$F$500,"Concluído")</f>
        <v/>
      </c>
      <c r="G19" s="34">
        <f>COUNTIFS(Build!$B$2:$B$500,A19,Build!$F$2:$F$500,"Aguarda o usuário")</f>
        <v/>
      </c>
      <c r="H19" s="34" t="inlineStr">
        <is>
          <t>Aguarda você</t>
        </is>
      </c>
      <c r="I19" s="34" t="inlineStr">
        <is>
          <t>—</t>
        </is>
      </c>
    </row>
    <row r="20">
      <c r="A20" s="86" t="inlineStr">
        <is>
          <t>0</t>
        </is>
      </c>
      <c r="B20" s="34" t="inlineStr">
        <is>
          <t>Pesquisa (kext, painel, rig SL)</t>
        </is>
      </c>
      <c r="C20" s="86">
        <f>IF(COUNTIFS(Build!$B$2:$B$500,A20,Build!$F$2:$F$500,"Concluído")=(COUNTIF(Build!$B$2:$B$500,A20)-(COUNTIFS(Build!$B$2:$B$500,A20,Build!$F$2:$F$500,"Cancelado*")+COUNTIFS(Build!$B$2:$B$500,A20,Build!$F$2:$F$500,"Sob demanda*"))),"Concluído",IF(COUNTIFS(Build!$B$2:$B$500,A20,Build!$F$2:$F$500,"Em andamento")+COUNTIFS(Build!$B$2:$B$500,A20,Build!$F$2:$F$500,"Concluído")&gt;0,"Em andamento",IF(COUNTIFS(Build!$B$2:$B$500,A20,Build!$F$2:$F$500,"Aguarda o usuário")&gt;0,"Aguarda você","Não iniciado")))</f>
        <v/>
      </c>
      <c r="D20" s="87">
        <f>IFERROR(COUNTIFS(Build!$B$2:$B$500,A20,Build!$F$2:$F$500,"Concluído")/(COUNTIF(Build!$B$2:$B$500,A20)-(COUNTIFS(Build!$B$2:$B$500,A20,Build!$F$2:$F$500,"Cancelado*")+COUNTIFS(Build!$B$2:$B$500,A20,Build!$F$2:$F$500,"Sob demanda*"))),0)</f>
        <v/>
      </c>
      <c r="E20" s="34">
        <f>(COUNTIF(Build!$B$2:$B$500,A20)-(COUNTIFS(Build!$B$2:$B$500,A20,Build!$F$2:$F$500,"Cancelado*")+COUNTIFS(Build!$B$2:$B$500,A20,Build!$F$2:$F$500,"Sob demanda*")))</f>
        <v/>
      </c>
      <c r="F20" s="34">
        <f>COUNTIFS(Build!$B$2:$B$500,A20,Build!$F$2:$F$500,"Concluído")</f>
        <v/>
      </c>
      <c r="G20" s="34">
        <f>COUNTIFS(Build!$B$2:$B$500,A20,Build!$F$2:$F$500,"Aguarda o usuário")</f>
        <v/>
      </c>
      <c r="H20" s="34" t="inlineStr">
        <is>
          <t>2 tarefas de mesa abertas (B-3a, B-5)</t>
        </is>
      </c>
      <c r="I20" s="34" t="inlineStr">
        <is>
          <t>1-2</t>
        </is>
      </c>
    </row>
    <row r="21">
      <c r="A21" s="86" t="inlineStr">
        <is>
          <t>1</t>
        </is>
      </c>
      <c r="B21" s="34" t="inlineStr">
        <is>
          <t>Base genérica (B-1..B-6)</t>
        </is>
      </c>
      <c r="C21" s="86">
        <f>IF(COUNTIFS(Build!$B$2:$B$500,A21,Build!$F$2:$F$500,"Concluído")=(COUNTIF(Build!$B$2:$B$500,A21)-(COUNTIFS(Build!$B$2:$B$500,A21,Build!$F$2:$F$500,"Cancelado*")+COUNTIFS(Build!$B$2:$B$500,A21,Build!$F$2:$F$500,"Sob demanda*"))),"Concluído",IF(COUNTIFS(Build!$B$2:$B$500,A21,Build!$F$2:$F$500,"Em andamento")+COUNTIFS(Build!$B$2:$B$500,A21,Build!$F$2:$F$500,"Concluído")&gt;0,"Em andamento",IF(COUNTIFS(Build!$B$2:$B$500,A21,Build!$F$2:$F$500,"Aguarda o usuário")&gt;0,"Aguarda você","Não iniciado")))</f>
        <v/>
      </c>
      <c r="D21" s="87">
        <f>IFERROR(COUNTIFS(Build!$B$2:$B$500,A21,Build!$F$2:$F$500,"Concluído")/(COUNTIF(Build!$B$2:$B$500,A21)-(COUNTIFS(Build!$B$2:$B$500,A21,Build!$F$2:$F$500,"Cancelado*")+COUNTIFS(Build!$B$2:$B$500,A21,Build!$F$2:$F$500,"Sob demanda*"))),0)</f>
        <v/>
      </c>
      <c r="E21" s="34">
        <f>(COUNTIF(Build!$B$2:$B$500,A21)-(COUNTIFS(Build!$B$2:$B$500,A21,Build!$F$2:$F$500,"Cancelado*")+COUNTIFS(Build!$B$2:$B$500,A21,Build!$F$2:$F$500,"Sob demanda*")))</f>
        <v/>
      </c>
      <c r="F21" s="34">
        <f>COUNTIFS(Build!$B$2:$B$500,A21,Build!$F$2:$F$500,"Concluído")</f>
        <v/>
      </c>
      <c r="G21" s="34">
        <f>COUNTIFS(Build!$B$2:$B$500,A21,Build!$F$2:$F$500,"Aguarda o usuário")</f>
        <v/>
      </c>
      <c r="H21" s="34" t="inlineStr">
        <is>
          <t>—</t>
        </is>
      </c>
      <c r="I21" s="34" t="inlineStr">
        <is>
          <t>1-2</t>
        </is>
      </c>
    </row>
    <row r="22">
      <c r="A22" s="86" t="inlineStr">
        <is>
          <t>2</t>
        </is>
      </c>
      <c r="B22" s="34" t="inlineStr">
        <is>
          <t>Módulo do kext models/FW410</t>
        </is>
      </c>
      <c r="C22" s="86">
        <f>IF(COUNTIFS(Build!$B$2:$B$500,A22,Build!$F$2:$F$500,"Concluído")=(COUNTIF(Build!$B$2:$B$500,A22)-(COUNTIFS(Build!$B$2:$B$500,A22,Build!$F$2:$F$500,"Cancelado*")+COUNTIFS(Build!$B$2:$B$500,A22,Build!$F$2:$F$500,"Sob demanda*"))),"Concluído",IF(COUNTIFS(Build!$B$2:$B$500,A22,Build!$F$2:$F$500,"Em andamento")+COUNTIFS(Build!$B$2:$B$500,A22,Build!$F$2:$F$500,"Concluído")&gt;0,"Em andamento",IF(COUNTIFS(Build!$B$2:$B$500,A22,Build!$F$2:$F$500,"Aguarda o usuário")&gt;0,"Aguarda você","Não iniciado")))</f>
        <v/>
      </c>
      <c r="D22" s="87">
        <f>IFERROR(COUNTIFS(Build!$B$2:$B$500,A22,Build!$F$2:$F$500,"Concluído")/(COUNTIF(Build!$B$2:$B$500,A22)-(COUNTIFS(Build!$B$2:$B$500,A22,Build!$F$2:$F$500,"Cancelado*")+COUNTIFS(Build!$B$2:$B$500,A22,Build!$F$2:$F$500,"Sob demanda*"))),0)</f>
        <v/>
      </c>
      <c r="E22" s="34">
        <f>(COUNTIF(Build!$B$2:$B$500,A22)-(COUNTIFS(Build!$B$2:$B$500,A22,Build!$F$2:$F$500,"Cancelado*")+COUNTIFS(Build!$B$2:$B$500,A22,Build!$F$2:$F$500,"Sob demanda*")))</f>
        <v/>
      </c>
      <c r="F22" s="34">
        <f>COUNTIFS(Build!$B$2:$B$500,A22,Build!$F$2:$F$500,"Concluído")</f>
        <v/>
      </c>
      <c r="G22" s="34">
        <f>COUNTIFS(Build!$B$2:$B$500,A22,Build!$F$2:$F$500,"Aguarda o usuário")</f>
        <v/>
      </c>
      <c r="H22" s="34" t="inlineStr">
        <is>
          <t>—</t>
        </is>
      </c>
      <c r="I22" s="34" t="inlineStr">
        <is>
          <t>2</t>
        </is>
      </c>
    </row>
    <row r="23">
      <c r="A23" s="86" t="inlineStr">
        <is>
          <t>3</t>
        </is>
      </c>
      <c r="B23" s="34" t="inlineStr">
        <is>
          <t>Helper</t>
        </is>
      </c>
      <c r="C23" s="86">
        <f>IF(COUNTIFS(Build!$B$2:$B$500,A23,Build!$F$2:$F$500,"Concluído")=(COUNTIF(Build!$B$2:$B$500,A23)-(COUNTIFS(Build!$B$2:$B$500,A23,Build!$F$2:$F$500,"Cancelado*")+COUNTIFS(Build!$B$2:$B$500,A23,Build!$F$2:$F$500,"Sob demanda*"))),"Concluído",IF(COUNTIFS(Build!$B$2:$B$500,A23,Build!$F$2:$F$500,"Em andamento")+COUNTIFS(Build!$B$2:$B$500,A23,Build!$F$2:$F$500,"Concluído")&gt;0,"Em andamento",IF(COUNTIFS(Build!$B$2:$B$500,A23,Build!$F$2:$F$500,"Aguarda o usuário")&gt;0,"Aguarda você","Não iniciado")))</f>
        <v/>
      </c>
      <c r="D23" s="87">
        <f>IFERROR(COUNTIFS(Build!$B$2:$B$500,A23,Build!$F$2:$F$500,"Concluído")/(COUNTIF(Build!$B$2:$B$500,A23)-(COUNTIFS(Build!$B$2:$B$500,A23,Build!$F$2:$F$500,"Cancelado*")+COUNTIFS(Build!$B$2:$B$500,A23,Build!$F$2:$F$500,"Sob demanda*"))),0)</f>
        <v/>
      </c>
      <c r="E23" s="34">
        <f>(COUNTIF(Build!$B$2:$B$500,A23)-(COUNTIFS(Build!$B$2:$B$500,A23,Build!$F$2:$F$500,"Cancelado*")+COUNTIFS(Build!$B$2:$B$500,A23,Build!$F$2:$F$500,"Sob demanda*")))</f>
        <v/>
      </c>
      <c r="F23" s="34">
        <f>COUNTIFS(Build!$B$2:$B$500,A23,Build!$F$2:$F$500,"Concluído")</f>
        <v/>
      </c>
      <c r="G23" s="34">
        <f>COUNTIFS(Build!$B$2:$B$500,A23,Build!$F$2:$F$500,"Aguarda o usuário")</f>
        <v/>
      </c>
      <c r="H23" s="34" t="inlineStr">
        <is>
          <t>—</t>
        </is>
      </c>
      <c r="I23" s="34" t="inlineStr">
        <is>
          <t>0.5</t>
        </is>
      </c>
    </row>
    <row r="24">
      <c r="A24" s="86" t="inlineStr">
        <is>
          <t>4</t>
        </is>
      </c>
      <c r="B24" s="34" t="inlineStr">
        <is>
          <t>Painel próprio do 410 + recursos genéricos</t>
        </is>
      </c>
      <c r="C24" s="86">
        <f>IF(COUNTIFS(Build!$B$2:$B$500,A24,Build!$F$2:$F$500,"Concluído")=(COUNTIF(Build!$B$2:$B$500,A24)-(COUNTIFS(Build!$B$2:$B$500,A24,Build!$F$2:$F$500,"Cancelado*")+COUNTIFS(Build!$B$2:$B$500,A24,Build!$F$2:$F$500,"Sob demanda*"))),"Concluído",IF(COUNTIFS(Build!$B$2:$B$500,A24,Build!$F$2:$F$500,"Em andamento")+COUNTIFS(Build!$B$2:$B$500,A24,Build!$F$2:$F$500,"Concluído")&gt;0,"Em andamento",IF(COUNTIFS(Build!$B$2:$B$500,A24,Build!$F$2:$F$500,"Aguarda o usuário")&gt;0,"Aguarda você","Não iniciado")))</f>
        <v/>
      </c>
      <c r="D24" s="87">
        <f>IFERROR(COUNTIFS(Build!$B$2:$B$500,A24,Build!$F$2:$F$500,"Concluído")/(COUNTIF(Build!$B$2:$B$500,A24)-(COUNTIFS(Build!$B$2:$B$500,A24,Build!$F$2:$F$500,"Cancelado*")+COUNTIFS(Build!$B$2:$B$500,A24,Build!$F$2:$F$500,"Sob demanda*"))),0)</f>
        <v/>
      </c>
      <c r="E24" s="34">
        <f>(COUNTIF(Build!$B$2:$B$500,A24)-(COUNTIFS(Build!$B$2:$B$500,A24,Build!$F$2:$F$500,"Cancelado*")+COUNTIFS(Build!$B$2:$B$500,A24,Build!$F$2:$F$500,"Sob demanda*")))</f>
        <v/>
      </c>
      <c r="F24" s="34">
        <f>COUNTIFS(Build!$B$2:$B$500,A24,Build!$F$2:$F$500,"Concluído")</f>
        <v/>
      </c>
      <c r="G24" s="34">
        <f>COUNTIFS(Build!$B$2:$B$500,A24,Build!$F$2:$F$500,"Aguarda o usuário")</f>
        <v/>
      </c>
      <c r="H24" s="34" t="inlineStr">
        <is>
          <t>—</t>
        </is>
      </c>
      <c r="I24" s="34" t="inlineStr">
        <is>
          <t>2</t>
        </is>
      </c>
    </row>
    <row r="25">
      <c r="A25" s="86" t="inlineStr">
        <is>
          <t>5</t>
        </is>
      </c>
      <c r="B25" s="34" t="inlineStr">
        <is>
          <t>MIDI</t>
        </is>
      </c>
      <c r="C25" s="86">
        <f>IF(COUNTIFS(Build!$B$2:$B$500,A25,Build!$F$2:$F$500,"Concluído")=(COUNTIF(Build!$B$2:$B$500,A25)-(COUNTIFS(Build!$B$2:$B$500,A25,Build!$F$2:$F$500,"Cancelado*")+COUNTIFS(Build!$B$2:$B$500,A25,Build!$F$2:$F$500,"Sob demanda*"))),"Concluído",IF(COUNTIFS(Build!$B$2:$B$500,A25,Build!$F$2:$F$500,"Em andamento")+COUNTIFS(Build!$B$2:$B$500,A25,Build!$F$2:$F$500,"Concluído")&gt;0,"Em andamento",IF(COUNTIFS(Build!$B$2:$B$500,A25,Build!$F$2:$F$500,"Aguarda o usuário")&gt;0,"Aguarda você","Não iniciado")))</f>
        <v/>
      </c>
      <c r="D25" s="87">
        <f>IFERROR(COUNTIFS(Build!$B$2:$B$500,A25,Build!$F$2:$F$500,"Concluído")/(COUNTIF(Build!$B$2:$B$500,A25)-(COUNTIFS(Build!$B$2:$B$500,A25,Build!$F$2:$F$500,"Cancelado*")+COUNTIFS(Build!$B$2:$B$500,A25,Build!$F$2:$F$500,"Sob demanda*"))),0)</f>
        <v/>
      </c>
      <c r="E25" s="34">
        <f>(COUNTIF(Build!$B$2:$B$500,A25)-(COUNTIFS(Build!$B$2:$B$500,A25,Build!$F$2:$F$500,"Cancelado*")+COUNTIFS(Build!$B$2:$B$500,A25,Build!$F$2:$F$500,"Sob demanda*")))</f>
        <v/>
      </c>
      <c r="F25" s="34">
        <f>COUNTIFS(Build!$B$2:$B$500,A25,Build!$F$2:$F$500,"Concluído")</f>
        <v/>
      </c>
      <c r="G25" s="34">
        <f>COUNTIFS(Build!$B$2:$B$500,A25,Build!$F$2:$F$500,"Aguarda o usuário")</f>
        <v/>
      </c>
      <c r="H25" s="34" t="inlineStr">
        <is>
          <t>—</t>
        </is>
      </c>
      <c r="I25" s="34" t="inlineStr">
        <is>
          <t>0.5</t>
        </is>
      </c>
    </row>
    <row r="26">
      <c r="A26" s="86" t="inlineStr">
        <is>
          <t>6</t>
        </is>
      </c>
      <c r="B26" s="34" t="inlineStr">
        <is>
          <t>Instalador, docs, versões</t>
        </is>
      </c>
      <c r="C26" s="86">
        <f>IF(COUNTIFS(Build!$B$2:$B$500,A26,Build!$F$2:$F$500,"Concluído")=(COUNTIF(Build!$B$2:$B$500,A26)-(COUNTIFS(Build!$B$2:$B$500,A26,Build!$F$2:$F$500,"Cancelado*")+COUNTIFS(Build!$B$2:$B$500,A26,Build!$F$2:$F$500,"Sob demanda*"))),"Concluído",IF(COUNTIFS(Build!$B$2:$B$500,A26,Build!$F$2:$F$500,"Em andamento")+COUNTIFS(Build!$B$2:$B$500,A26,Build!$F$2:$F$500,"Concluído")&gt;0,"Em andamento",IF(COUNTIFS(Build!$B$2:$B$500,A26,Build!$F$2:$F$500,"Aguarda o usuário")&gt;0,"Aguarda você","Não iniciado")))</f>
        <v/>
      </c>
      <c r="D26" s="87">
        <f>IFERROR(COUNTIFS(Build!$B$2:$B$500,A26,Build!$F$2:$F$500,"Concluído")/(COUNTIF(Build!$B$2:$B$500,A26)-(COUNTIFS(Build!$B$2:$B$500,A26,Build!$F$2:$F$500,"Cancelado*")+COUNTIFS(Build!$B$2:$B$500,A26,Build!$F$2:$F$500,"Sob demanda*"))),0)</f>
        <v/>
      </c>
      <c r="E26" s="34">
        <f>(COUNTIF(Build!$B$2:$B$500,A26)-(COUNTIFS(Build!$B$2:$B$500,A26,Build!$F$2:$F$500,"Cancelado*")+COUNTIFS(Build!$B$2:$B$500,A26,Build!$F$2:$F$500,"Sob demanda*")))</f>
        <v/>
      </c>
      <c r="F26" s="34">
        <f>COUNTIFS(Build!$B$2:$B$500,A26,Build!$F$2:$F$500,"Concluído")</f>
        <v/>
      </c>
      <c r="G26" s="34">
        <f>COUNTIFS(Build!$B$2:$B$500,A26,Build!$F$2:$F$500,"Aguarda o usuário")</f>
        <v/>
      </c>
      <c r="H26" s="34" t="inlineStr">
        <is>
          <t>—</t>
        </is>
      </c>
      <c r="I26" s="34" t="inlineStr">
        <is>
          <t>0.5</t>
        </is>
      </c>
    </row>
    <row r="27">
      <c r="A27" s="86" t="inlineStr">
        <is>
          <t>7</t>
        </is>
      </c>
      <c r="B27" s="34" t="inlineStr">
        <is>
          <t>Primeira execução integrada</t>
        </is>
      </c>
      <c r="C27" s="86">
        <f>IF(COUNTIFS(Build!$B$2:$B$500,A27,Build!$F$2:$F$500,"Concluído")=(COUNTIF(Build!$B$2:$B$500,A27)-(COUNTIFS(Build!$B$2:$B$500,A27,Build!$F$2:$F$500,"Cancelado*")+COUNTIFS(Build!$B$2:$B$500,A27,Build!$F$2:$F$500,"Sob demanda*"))),"Concluído",IF(COUNTIFS(Build!$B$2:$B$500,A27,Build!$F$2:$F$500,"Em andamento")+COUNTIFS(Build!$B$2:$B$500,A27,Build!$F$2:$F$500,"Concluído")&gt;0,"Em andamento",IF(COUNTIFS(Build!$B$2:$B$500,A27,Build!$F$2:$F$500,"Aguarda o usuário")&gt;0,"Aguarda você","Não iniciado")))</f>
        <v/>
      </c>
      <c r="D27" s="87">
        <f>IFERROR(COUNTIFS(Build!$B$2:$B$500,A27,Build!$F$2:$F$500,"Concluído")/(COUNTIF(Build!$B$2:$B$500,A27)-(COUNTIFS(Build!$B$2:$B$500,A27,Build!$F$2:$F$500,"Cancelado*")+COUNTIFS(Build!$B$2:$B$500,A27,Build!$F$2:$F$500,"Sob demanda*"))),0)</f>
        <v/>
      </c>
      <c r="E27" s="34">
        <f>(COUNTIF(Build!$B$2:$B$500,A27)-(COUNTIFS(Build!$B$2:$B$500,A27,Build!$F$2:$F$500,"Cancelado*")+COUNTIFS(Build!$B$2:$B$500,A27,Build!$F$2:$F$500,"Sob demanda*")))</f>
        <v/>
      </c>
      <c r="F27" s="34">
        <f>COUNTIFS(Build!$B$2:$B$500,A27,Build!$F$2:$F$500,"Concluído")</f>
        <v/>
      </c>
      <c r="G27" s="34">
        <f>COUNTIFS(Build!$B$2:$B$500,A27,Build!$F$2:$F$500,"Aguarda o usuário")</f>
        <v/>
      </c>
      <c r="H27" s="34" t="inlineStr">
        <is>
          <t>—</t>
        </is>
      </c>
      <c r="I27" s="34" t="inlineStr">
        <is>
          <t>1-2</t>
        </is>
      </c>
    </row>
    <row r="28">
      <c r="A28" s="86" t="n"/>
      <c r="B28" s="34" t="n"/>
      <c r="C28" s="86" t="n"/>
      <c r="D28" s="87" t="n"/>
      <c r="E28" s="34" t="n"/>
      <c r="F28" s="34" t="n"/>
      <c r="G28" s="34" t="n"/>
      <c r="H28" s="34" t="n"/>
      <c r="I28" s="34" t="n"/>
    </row>
  </sheetData>
  <mergeCells count="6">
    <mergeCell ref="D10:I10"/>
    <mergeCell ref="D11:I14"/>
    <mergeCell ref="D5:I5"/>
    <mergeCell ref="A17:I17"/>
    <mergeCell ref="A4:I4"/>
    <mergeCell ref="D6:I9"/>
  </mergeCells>
  <conditionalFormatting sqref="D19:D28">
    <cfRule type="dataBar" priority="1">
      <dataBar>
        <cfvo type="num" val="0"/>
        <cfvo type="num" val="1"/>
        <color rgb="0063BE7B"/>
      </dataBar>
    </cfRule>
  </conditionalFormatting>
  <conditionalFormatting sqref="C19:C28">
    <cfRule type="cellIs" priority="2" operator="equal" dxfId="13">
      <formula>"Concluído"</formula>
    </cfRule>
    <cfRule type="cellIs" priority="3" operator="equal" dxfId="14">
      <formula>"Em andamento"</formula>
    </cfRule>
    <cfRule type="cellIs" priority="4" operator="equal" dxfId="15">
      <formula>"Aguarda você"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51" min="1" max="1"/>
    <col width="10" customWidth="1" style="51" min="2" max="2"/>
    <col width="13" customWidth="1" style="51" min="3" max="10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10" customWidth="1" style="21" min="8" max="8"/>
    <col width="11" customWidth="1" style="21" min="9" max="9"/>
    <col width="11" customWidth="1" style="21" min="10" max="10"/>
  </cols>
  <sheetData>
    <row r="1" ht="16.15" customHeight="1" s="21">
      <c r="A1" s="88" t="inlineStr">
        <is>
          <t>Matriz de proveniência — FireWire 410 (openaudio-mafw-bebob)</t>
        </is>
      </c>
    </row>
    <row r="2" ht="15" customHeight="1" s="21">
      <c r="A2" s="78" t="inlineStr">
        <is>
          <t>Tudo nesta aba é fórmula sobre as abas Itens e Flags_auditoria.</t>
        </is>
      </c>
    </row>
    <row r="4" ht="30" customHeight="1" s="21">
      <c r="A4" s="85" t="inlineStr">
        <is>
          <t>Parte</t>
        </is>
      </c>
      <c r="B4" s="85" t="inlineStr">
        <is>
          <t>Itens</t>
        </is>
      </c>
      <c r="C4" s="85" t="inlineStr">
        <is>
          <t>Confiança média</t>
        </is>
      </c>
      <c r="D4" s="85" t="inlineStr">
        <is>
          <t>Byte-level = Sim</t>
        </is>
      </c>
      <c r="E4" s="85" t="inlineStr">
        <is>
          <t>Hardware live = Sim</t>
        </is>
      </c>
      <c r="F4" s="85" t="inlineStr">
        <is>
          <t>Especulativo = Sim</t>
        </is>
      </c>
      <c r="G4" s="85" t="inlineStr">
        <is>
          <t>Correção pendente</t>
        </is>
      </c>
      <c r="H4" s="85" t="inlineStr">
        <is>
          <t>Aberto</t>
        </is>
      </c>
      <c r="I4" s="85" t="inlineStr">
        <is>
          <t>Confiança ≤ 3</t>
        </is>
      </c>
      <c r="J4" s="85" t="inlineStr">
        <is>
          <t>Confiança ≥ 7</t>
        </is>
      </c>
    </row>
    <row r="5" ht="15" customHeight="1" s="21">
      <c r="A5" s="89" t="inlineStr">
        <is>
          <t>410-0.1</t>
        </is>
      </c>
      <c r="B5" s="90">
        <f>COUNTIF(Itens!$B$2:$B$500,A5)</f>
        <v/>
      </c>
      <c r="C5" s="91">
        <f>IFERROR(AVERAGEIF(Itens!$B$2:$B$500,A5,Itens!$L$2:$L$500),0)</f>
        <v/>
      </c>
      <c r="D5" s="90">
        <f>COUNTIFS(Itens!$B$2:$B$500,A5,Itens!$E$2:$E$500,"Sim")</f>
        <v/>
      </c>
      <c r="E5" s="90">
        <f>COUNTIFS(Itens!$B$2:$B$500,A5,Itens!$F$2:$F$500,"Sim")</f>
        <v/>
      </c>
      <c r="F5" s="90">
        <f>COUNTIFS(Itens!$B$2:$B$500,A5,Itens!$H$2:$H$500,"Sim")</f>
        <v/>
      </c>
      <c r="G5" s="90">
        <f>COUNTIFS(Itens!$B$2:$B$500,A5,Itens!$K$2:$K$500,"Correção pendente (audit)")</f>
        <v/>
      </c>
      <c r="H5" s="90">
        <f>COUNTIFS(Itens!$B$2:$B$500,A5,Itens!$K$2:$K$500,"Aberto / não resolvido")</f>
        <v/>
      </c>
      <c r="I5" s="90">
        <f>COUNTIFS(Itens!$B$2:$B$500,A5,Itens!$L$2:$L$500,"&lt;=3")</f>
        <v/>
      </c>
      <c r="J5" s="90">
        <f>COUNTIFS(Itens!$B$2:$B$500,A5,Itens!$L$2:$L$500,"&gt;=7")</f>
        <v/>
      </c>
    </row>
    <row r="6" ht="15" customHeight="1" s="21">
      <c r="A6" s="89" t="inlineStr">
        <is>
          <t>410-0.2</t>
        </is>
      </c>
      <c r="B6" s="90">
        <f>COUNTIF(Itens!$B$2:$B$500,A6)</f>
        <v/>
      </c>
      <c r="C6" s="91">
        <f>IFERROR(AVERAGEIF(Itens!$B$2:$B$500,A6,Itens!$L$2:$L$500),0)</f>
        <v/>
      </c>
      <c r="D6" s="90">
        <f>COUNTIFS(Itens!$B$2:$B$500,A6,Itens!$E$2:$E$500,"Sim")</f>
        <v/>
      </c>
      <c r="E6" s="90">
        <f>COUNTIFS(Itens!$B$2:$B$500,A6,Itens!$F$2:$F$500,"Sim")</f>
        <v/>
      </c>
      <c r="F6" s="90">
        <f>COUNTIFS(Itens!$B$2:$B$500,A6,Itens!$H$2:$H$500,"Sim")</f>
        <v/>
      </c>
      <c r="G6" s="90">
        <f>COUNTIFS(Itens!$B$2:$B$500,A6,Itens!$K$2:$K$500,"Correção pendente (audit)")</f>
        <v/>
      </c>
      <c r="H6" s="90">
        <f>COUNTIFS(Itens!$B$2:$B$500,A6,Itens!$K$2:$K$500,"Aberto / não resolvido")</f>
        <v/>
      </c>
      <c r="I6" s="90">
        <f>COUNTIFS(Itens!$B$2:$B$500,A6,Itens!$L$2:$L$500,"&lt;=3")</f>
        <v/>
      </c>
      <c r="J6" s="90">
        <f>COUNTIFS(Itens!$B$2:$B$500,A6,Itens!$L$2:$L$500,"&gt;=7")</f>
        <v/>
      </c>
    </row>
    <row r="7" ht="15" customHeight="1" s="21">
      <c r="A7" s="89" t="inlineStr">
        <is>
          <t>410-0.3</t>
        </is>
      </c>
      <c r="B7" s="90">
        <f>COUNTIF(Itens!$B$2:$B$500,A7)</f>
        <v/>
      </c>
      <c r="C7" s="91">
        <f>IFERROR(AVERAGEIF(Itens!$B$2:$B$500,A7,Itens!$L$2:$L$500),0)</f>
        <v/>
      </c>
      <c r="D7" s="90">
        <f>COUNTIFS(Itens!$B$2:$B$500,A7,Itens!$E$2:$E$500,"Sim")</f>
        <v/>
      </c>
      <c r="E7" s="90">
        <f>COUNTIFS(Itens!$B$2:$B$500,A7,Itens!$F$2:$F$500,"Sim")</f>
        <v/>
      </c>
      <c r="F7" s="90">
        <f>COUNTIFS(Itens!$B$2:$B$500,A7,Itens!$H$2:$H$500,"Sim")</f>
        <v/>
      </c>
      <c r="G7" s="90">
        <f>COUNTIFS(Itens!$B$2:$B$500,A7,Itens!$K$2:$K$500,"Correção pendente (audit)")</f>
        <v/>
      </c>
      <c r="H7" s="90">
        <f>COUNTIFS(Itens!$B$2:$B$500,A7,Itens!$K$2:$K$500,"Aberto / não resolvido")</f>
        <v/>
      </c>
      <c r="I7" s="90">
        <f>COUNTIFS(Itens!$B$2:$B$500,A7,Itens!$L$2:$L$500,"&lt;=3")</f>
        <v/>
      </c>
      <c r="J7" s="90">
        <f>COUNTIFS(Itens!$B$2:$B$500,A7,Itens!$L$2:$L$500,"&gt;=7")</f>
        <v/>
      </c>
    </row>
    <row r="8" ht="15" customHeight="1" s="21">
      <c r="A8" s="89" t="inlineStr">
        <is>
          <t>410-0.4</t>
        </is>
      </c>
      <c r="B8" s="90">
        <f>COUNTIF(Itens!$B$2:$B$500,A8)</f>
        <v/>
      </c>
      <c r="C8" s="91">
        <f>IFERROR(AVERAGEIF(Itens!$B$2:$B$500,A8,Itens!$L$2:$L$500),0)</f>
        <v/>
      </c>
      <c r="D8" s="90">
        <f>COUNTIFS(Itens!$B$2:$B$500,A8,Itens!$E$2:$E$500,"Sim")</f>
        <v/>
      </c>
      <c r="E8" s="90">
        <f>COUNTIFS(Itens!$B$2:$B$500,A8,Itens!$F$2:$F$500,"Sim")</f>
        <v/>
      </c>
      <c r="F8" s="90">
        <f>COUNTIFS(Itens!$B$2:$B$500,A8,Itens!$H$2:$H$500,"Sim")</f>
        <v/>
      </c>
      <c r="G8" s="90">
        <f>COUNTIFS(Itens!$B$2:$B$500,A8,Itens!$K$2:$K$500,"Correção pendente (audit)")</f>
        <v/>
      </c>
      <c r="H8" s="90">
        <f>COUNTIFS(Itens!$B$2:$B$500,A8,Itens!$K$2:$K$500,"Aberto / não resolvido")</f>
        <v/>
      </c>
      <c r="I8" s="90">
        <f>COUNTIFS(Itens!$B$2:$B$500,A8,Itens!$L$2:$L$500,"&lt;=3")</f>
        <v/>
      </c>
      <c r="J8" s="90">
        <f>COUNTIFS(Itens!$B$2:$B$500,A8,Itens!$L$2:$L$500,"&gt;=7")</f>
        <v/>
      </c>
    </row>
    <row r="9" ht="15" customHeight="1" s="21">
      <c r="A9" s="89" t="inlineStr">
        <is>
          <t>410-0.5</t>
        </is>
      </c>
      <c r="B9" s="90">
        <f>COUNTIF(Itens!$B$2:$B$500,A9)</f>
        <v/>
      </c>
      <c r="C9" s="91">
        <f>IFERROR(AVERAGEIF(Itens!$B$2:$B$500,A9,Itens!$L$2:$L$500),0)</f>
        <v/>
      </c>
      <c r="D9" s="90">
        <f>COUNTIFS(Itens!$B$2:$B$500,A9,Itens!$E$2:$E$500,"Sim")</f>
        <v/>
      </c>
      <c r="E9" s="90">
        <f>COUNTIFS(Itens!$B$2:$B$500,A9,Itens!$F$2:$F$500,"Sim")</f>
        <v/>
      </c>
      <c r="F9" s="90">
        <f>COUNTIFS(Itens!$B$2:$B$500,A9,Itens!$H$2:$H$500,"Sim")</f>
        <v/>
      </c>
      <c r="G9" s="90">
        <f>COUNTIFS(Itens!$B$2:$B$500,A9,Itens!$K$2:$K$500,"Correção pendente (audit)")</f>
        <v/>
      </c>
      <c r="H9" s="90">
        <f>COUNTIFS(Itens!$B$2:$B$500,A9,Itens!$K$2:$K$500,"Aberto / não resolvido")</f>
        <v/>
      </c>
      <c r="I9" s="90">
        <f>COUNTIFS(Itens!$B$2:$B$500,A9,Itens!$L$2:$L$500,"&lt;=3")</f>
        <v/>
      </c>
      <c r="J9" s="90">
        <f>COUNTIFS(Itens!$B$2:$B$500,A9,Itens!$L$2:$L$500,"&gt;=7")</f>
        <v/>
      </c>
    </row>
    <row r="10" ht="15" customHeight="1" s="21">
      <c r="A10" s="89" t="inlineStr">
        <is>
          <t>410-0.6</t>
        </is>
      </c>
      <c r="B10" s="90">
        <f>COUNTIF(Itens!$B$2:$B$500,A10)</f>
        <v/>
      </c>
      <c r="C10" s="91">
        <f>IFERROR(AVERAGEIF(Itens!$B$2:$B$500,A10,Itens!$L$2:$L$500),0)</f>
        <v/>
      </c>
      <c r="D10" s="90">
        <f>COUNTIFS(Itens!$B$2:$B$500,A10,Itens!$E$2:$E$500,"Sim")</f>
        <v/>
      </c>
      <c r="E10" s="90">
        <f>COUNTIFS(Itens!$B$2:$B$500,A10,Itens!$F$2:$F$500,"Sim")</f>
        <v/>
      </c>
      <c r="F10" s="90">
        <f>COUNTIFS(Itens!$B$2:$B$500,A10,Itens!$H$2:$H$500,"Sim")</f>
        <v/>
      </c>
      <c r="G10" s="90">
        <f>COUNTIFS(Itens!$B$2:$B$500,A10,Itens!$K$2:$K$500,"Correção pendente (audit)")</f>
        <v/>
      </c>
      <c r="H10" s="90">
        <f>COUNTIFS(Itens!$B$2:$B$500,A10,Itens!$K$2:$K$500,"Aberto / não resolvido")</f>
        <v/>
      </c>
      <c r="I10" s="90">
        <f>COUNTIFS(Itens!$B$2:$B$500,A10,Itens!$L$2:$L$500,"&lt;=3")</f>
        <v/>
      </c>
      <c r="J10" s="90">
        <f>COUNTIFS(Itens!$B$2:$B$500,A10,Itens!$L$2:$L$500,"&gt;=7")</f>
        <v/>
      </c>
    </row>
    <row r="11" ht="15" customHeight="1" s="21">
      <c r="A11" s="89" t="inlineStr">
        <is>
          <t>410-0.7</t>
        </is>
      </c>
      <c r="B11" s="90">
        <f>COUNTIF(Itens!$B$2:$B$500,A11)</f>
        <v/>
      </c>
      <c r="C11" s="91">
        <f>IFERROR(AVERAGEIF(Itens!$B$2:$B$500,A11,Itens!$L$2:$L$500),0)</f>
        <v/>
      </c>
      <c r="D11" s="90">
        <f>COUNTIFS(Itens!$B$2:$B$500,A11,Itens!$E$2:$E$500,"Sim")</f>
        <v/>
      </c>
      <c r="E11" s="90">
        <f>COUNTIFS(Itens!$B$2:$B$500,A11,Itens!$F$2:$F$500,"Sim")</f>
        <v/>
      </c>
      <c r="F11" s="90">
        <f>COUNTIFS(Itens!$B$2:$B$500,A11,Itens!$H$2:$H$500,"Sim")</f>
        <v/>
      </c>
      <c r="G11" s="90">
        <f>COUNTIFS(Itens!$B$2:$B$500,A11,Itens!$K$2:$K$500,"Correção pendente (audit)")</f>
        <v/>
      </c>
      <c r="H11" s="90">
        <f>COUNTIFS(Itens!$B$2:$B$500,A11,Itens!$K$2:$K$500,"Aberto / não resolvido")</f>
        <v/>
      </c>
      <c r="I11" s="90">
        <f>COUNTIFS(Itens!$B$2:$B$500,A11,Itens!$L$2:$L$500,"&lt;=3")</f>
        <v/>
      </c>
      <c r="J11" s="90">
        <f>COUNTIFS(Itens!$B$2:$B$500,A11,Itens!$L$2:$L$500,"&gt;=7")</f>
        <v/>
      </c>
    </row>
    <row r="12" ht="15" customHeight="1" s="21">
      <c r="A12" s="89" t="inlineStr">
        <is>
          <t>410-0.8</t>
        </is>
      </c>
      <c r="B12" s="90">
        <f>COUNTIF(Itens!$B$2:$B$500,A12)</f>
        <v/>
      </c>
      <c r="C12" s="91">
        <f>IFERROR(AVERAGEIF(Itens!$B$2:$B$500,A12,Itens!$L$2:$L$500),0)</f>
        <v/>
      </c>
      <c r="D12" s="90">
        <f>COUNTIFS(Itens!$B$2:$B$500,A12,Itens!$E$2:$E$500,"Sim")</f>
        <v/>
      </c>
      <c r="E12" s="90">
        <f>COUNTIFS(Itens!$B$2:$B$500,A12,Itens!$F$2:$F$500,"Sim")</f>
        <v/>
      </c>
      <c r="F12" s="90">
        <f>COUNTIFS(Itens!$B$2:$B$500,A12,Itens!$H$2:$H$500,"Sim")</f>
        <v/>
      </c>
      <c r="G12" s="90">
        <f>COUNTIFS(Itens!$B$2:$B$500,A12,Itens!$K$2:$K$500,"Correção pendente (audit)")</f>
        <v/>
      </c>
      <c r="H12" s="90">
        <f>COUNTIFS(Itens!$B$2:$B$500,A12,Itens!$K$2:$K$500,"Aberto / não resolvido")</f>
        <v/>
      </c>
      <c r="I12" s="90">
        <f>COUNTIFS(Itens!$B$2:$B$500,A12,Itens!$L$2:$L$500,"&lt;=3")</f>
        <v/>
      </c>
      <c r="J12" s="90">
        <f>COUNTIFS(Itens!$B$2:$B$500,A12,Itens!$L$2:$L$500,"&gt;=7")</f>
        <v/>
      </c>
    </row>
    <row r="13" ht="15" customHeight="1" s="21">
      <c r="A13" s="89" t="inlineStr">
        <is>
          <t>410-0.9</t>
        </is>
      </c>
      <c r="B13" s="90">
        <f>COUNTIF(Itens!$B$2:$B$500,A13)</f>
        <v/>
      </c>
      <c r="C13" s="91">
        <f>IFERROR(AVERAGEIF(Itens!$B$2:$B$500,A13,Itens!$L$2:$L$500),0)</f>
        <v/>
      </c>
      <c r="D13" s="90">
        <f>COUNTIFS(Itens!$B$2:$B$500,A13,Itens!$E$2:$E$500,"Sim")</f>
        <v/>
      </c>
      <c r="E13" s="90">
        <f>COUNTIFS(Itens!$B$2:$B$500,A13,Itens!$F$2:$F$500,"Sim")</f>
        <v/>
      </c>
      <c r="F13" s="90">
        <f>COUNTIFS(Itens!$B$2:$B$500,A13,Itens!$H$2:$H$500,"Sim")</f>
        <v/>
      </c>
      <c r="G13" s="90">
        <f>COUNTIFS(Itens!$B$2:$B$500,A13,Itens!$K$2:$K$500,"Correção pendente (audit)")</f>
        <v/>
      </c>
      <c r="H13" s="90">
        <f>COUNTIFS(Itens!$B$2:$B$500,A13,Itens!$K$2:$K$500,"Aberto / não resolvido")</f>
        <v/>
      </c>
      <c r="I13" s="90">
        <f>COUNTIFS(Itens!$B$2:$B$500,A13,Itens!$L$2:$L$500,"&lt;=3")</f>
        <v/>
      </c>
      <c r="J13" s="90">
        <f>COUNTIFS(Itens!$B$2:$B$500,A13,Itens!$L$2:$L$500,"&gt;=7")</f>
        <v/>
      </c>
    </row>
    <row r="14" ht="15" customHeight="1" s="21">
      <c r="A14" s="92" t="inlineStr">
        <is>
          <t>Total</t>
        </is>
      </c>
      <c r="B14" s="89">
        <f>SUM(B5:B13)</f>
        <v/>
      </c>
      <c r="C14" s="93">
        <f>AVERAGE(Itens!$L$2:$L$500)</f>
        <v/>
      </c>
      <c r="D14" s="89">
        <f>SUM(D5:D13)</f>
        <v/>
      </c>
      <c r="E14" s="89">
        <f>SUM(E5:E13)</f>
        <v/>
      </c>
      <c r="F14" s="89">
        <f>SUM(F5:F13)</f>
        <v/>
      </c>
      <c r="G14" s="89">
        <f>SUM(G5:G13)</f>
        <v/>
      </c>
      <c r="H14" s="89">
        <f>SUM(H5:H13)</f>
        <v/>
      </c>
      <c r="I14" s="89">
        <f>SUM(I5:I13)</f>
        <v/>
      </c>
      <c r="J14" s="89">
        <f>SUM(J5:J13)</f>
        <v/>
      </c>
    </row>
    <row r="15" ht="15" customHeight="1" s="21"/>
    <row r="16" ht="15" customHeight="1" s="21">
      <c r="A16" s="92" t="inlineStr">
        <is>
          <t>Flags do audit por severidade</t>
        </is>
      </c>
    </row>
    <row r="17" ht="15" customHeight="1" s="21">
      <c r="A17" s="94" t="inlineStr">
        <is>
          <t>Severidade</t>
        </is>
      </c>
      <c r="B17" s="94" t="inlineStr">
        <is>
          <t>Total</t>
        </is>
      </c>
      <c r="C17" s="94" t="inlineStr">
        <is>
          <t>Abertas</t>
        </is>
      </c>
      <c r="D17" s="94" t="inlineStr">
        <is>
          <t>Resolvidas</t>
        </is>
      </c>
    </row>
    <row r="18" ht="15" customHeight="1" s="21">
      <c r="A18" s="90" t="inlineStr">
        <is>
          <t>alta</t>
        </is>
      </c>
      <c r="B18" s="90">
        <f>COUNTIF(Flags_auditoria!$F$2:$F$500,A18)</f>
        <v/>
      </c>
      <c r="C18" s="90">
        <f>COUNTIFS(Flags_auditoria!$F$2:$F$500,A18,Flags_auditoria!$H$2:$H$500,"Aberto")</f>
        <v/>
      </c>
      <c r="D18" s="90">
        <f>COUNTIFS(Flags_auditoria!$F$2:$F$500,A18,Flags_auditoria!$H$2:$H$500,"Resolvido")</f>
        <v/>
      </c>
    </row>
    <row r="19" ht="15" customHeight="1" s="21">
      <c r="A19" s="90" t="inlineStr">
        <is>
          <t>média</t>
        </is>
      </c>
      <c r="B19" s="90">
        <f>COUNTIF(Flags_auditoria!$F$2:$F$500,A19)</f>
        <v/>
      </c>
      <c r="C19" s="90">
        <f>COUNTIFS(Flags_auditoria!$F$2:$F$500,A19,Flags_auditoria!$H$2:$H$500,"Aberto")</f>
        <v/>
      </c>
      <c r="D19" s="90">
        <f>COUNTIFS(Flags_auditoria!$F$2:$F$500,A19,Flags_auditoria!$H$2:$H$500,"Resolvido")</f>
        <v/>
      </c>
    </row>
    <row r="20" ht="15" customHeight="1" s="21">
      <c r="A20" s="90" t="inlineStr">
        <is>
          <t>baixa</t>
        </is>
      </c>
      <c r="B20" s="90">
        <f>COUNTIF(Flags_auditoria!$F$2:$F$500,A20)</f>
        <v/>
      </c>
      <c r="C20" s="90">
        <f>COUNTIFS(Flags_auditoria!$F$2:$F$500,A20,Flags_auditoria!$H$2:$H$500,"Aberto")</f>
        <v/>
      </c>
      <c r="D20" s="90">
        <f>COUNTIFS(Flags_auditoria!$F$2:$F$500,A20,Flags_auditoria!$H$2:$H$500,"Resolvido")</f>
        <v/>
      </c>
    </row>
    <row r="21" ht="15" customHeight="1" s="21"/>
    <row r="22" ht="15" customHeight="1" s="21"/>
    <row r="23" ht="15" customHeight="1" s="21"/>
    <row r="24" ht="15" customHeight="1" s="21"/>
    <row r="25" ht="15" customHeight="1" s="21"/>
    <row r="27" ht="15" customHeight="1" s="21"/>
    <row r="28" ht="15" customHeight="1" s="21"/>
    <row r="29" ht="15" customHeight="1" s="21"/>
    <row r="30" ht="15" customHeight="1" s="21"/>
    <row r="31" ht="15" customHeight="1" s="21"/>
    <row r="32" ht="15" customHeight="1" s="21"/>
    <row r="33" ht="15" customHeight="1" s="21"/>
    <row r="34" ht="15" customHeight="1" s="21"/>
    <row r="35" ht="15" customHeight="1" s="21"/>
    <row r="37" ht="15" customHeight="1" s="21"/>
    <row r="38" ht="15" customHeight="1" s="21"/>
    <row r="39" ht="15" customHeight="1" s="21"/>
    <row r="40" ht="15" customHeight="1" s="21"/>
    <row r="41" ht="15" customHeight="1" s="2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7" customWidth="1" style="51" min="2" max="2"/>
    <col width="26" customWidth="1" style="51" min="3" max="3"/>
    <col width="60" customWidth="1" style="51" min="4" max="4"/>
    <col width="11" customWidth="1" style="51" min="5" max="5"/>
    <col width="10" customWidth="1" style="51" min="6" max="6"/>
    <col width="13" customWidth="1" style="51" min="7" max="7"/>
    <col width="11" customWidth="1" style="51" min="8" max="8"/>
    <col width="40" customWidth="1" style="51" min="9" max="9"/>
    <col width="8" customWidth="1" style="51" min="10" max="10"/>
    <col width="20" customWidth="1" style="51" min="11" max="11"/>
    <col width="10" customWidth="1" style="51" min="12" max="12"/>
    <col width="42" customWidth="1" style="51" min="13" max="13"/>
    <col width="28" customWidth="1" style="51" min="14" max="14"/>
    <col width="50" customWidth="1" style="51" min="15" max="15"/>
    <col width="12" customWidth="1" style="21" min="16" max="16"/>
  </cols>
  <sheetData>
    <row r="1" ht="42" customHeight="1" s="21">
      <c r="A1" s="54" t="inlineStr">
        <is>
          <t>ID</t>
        </is>
      </c>
      <c r="B1" s="54" t="inlineStr">
        <is>
          <t>Parte</t>
        </is>
      </c>
      <c r="C1" s="54" t="inlineStr">
        <is>
          <t>Item</t>
        </is>
      </c>
      <c r="D1" s="54" t="inlineStr">
        <is>
          <t>Descrição breve</t>
        </is>
      </c>
      <c r="E1" s="54" t="inlineStr">
        <is>
          <t>Byte-level confirmado</t>
        </is>
      </c>
      <c r="F1" s="54" t="inlineStr">
        <is>
          <t>Hardware live</t>
        </is>
      </c>
      <c r="G1" s="54" t="inlineStr">
        <is>
          <t>Ferramenta (otool/Ghidra)</t>
        </is>
      </c>
      <c r="H1" s="54" t="inlineStr">
        <is>
          <t>Especulativo</t>
        </is>
      </c>
      <c r="I1" s="54" t="inlineStr">
        <is>
          <t>Fontes / cruzamentos (separe com ;)</t>
        </is>
      </c>
      <c r="J1" s="54" t="inlineStr">
        <is>
          <t>Nº de fontes</t>
        </is>
      </c>
      <c r="K1" s="54" t="inlineStr">
        <is>
          <t>Status documental</t>
        </is>
      </c>
      <c r="L1" s="54" t="inlineStr">
        <is>
          <t>Confiança (0–10)</t>
        </is>
      </c>
      <c r="M1" s="54" t="inlineStr">
        <is>
          <t>Referência (arquivo; seção/linha)</t>
        </is>
      </c>
      <c r="N1" s="54" t="inlineStr">
        <is>
          <t>Flags do audit (arquivo:linha)</t>
        </is>
      </c>
      <c r="O1" s="54" t="inlineStr">
        <is>
          <t>Notas / pendências</t>
        </is>
      </c>
      <c r="P1" s="64" t="inlineStr">
        <is>
          <t>Sub-ramo</t>
        </is>
      </c>
    </row>
    <row r="2" ht="32.8" customHeight="1" s="21">
      <c r="A2" s="51" t="inlineStr">
        <is>
          <t>410-0.1.1</t>
        </is>
      </c>
      <c r="B2" s="51" t="inlineStr">
        <is>
          <t>410-0.1</t>
        </is>
      </c>
      <c r="C2" s="51" t="inlineStr">
        <is>
          <t>Identidade e attach</t>
        </is>
      </c>
      <c r="D2" s="51" t="inlineStr">
        <is>
          <t>Classe com_m_audio_FW410Device : FWRev2AudioDevice; personalidade por nome "FW 410"; nub aceita (vendor name M-AUDIO)</t>
        </is>
      </c>
      <c r="E2" s="51" t="inlineStr">
        <is>
          <t>Sim</t>
        </is>
      </c>
      <c r="F2" s="51" t="inlineStr">
        <is>
          <t>Sim</t>
        </is>
      </c>
      <c r="G2" s="51" t="inlineStr">
        <is>
          <t>otool + Ghidra</t>
        </is>
      </c>
      <c r="H2" s="51" t="inlineStr">
        <is>
          <t>Não</t>
        </is>
      </c>
      <c r="I2" s="51" t="inlineStr">
        <is>
          <t>vtable 0x3c600; Info.plist; captura 102; FWMetaNub.cpp:45,114</t>
        </is>
      </c>
      <c r="J2" s="51">
        <f>IF(TRIM(I2)="",0,LEN(I2)-LEN(SUBSTITUTE(I2,";",""))+1)</f>
        <v/>
      </c>
      <c r="K2" s="51" t="inlineStr">
        <is>
          <t>Consistente</t>
        </is>
      </c>
      <c r="L2" s="51">
        <f>ROUND(IF(H2="Sim",MIN(Legenda!$C$12,MIN(10,IF(E2="Sim",Legenda!$C$4,IF(E2="Parcial",Legenda!$C$5,0))+IF(F2="Sim",Legenda!$C$6,IF(F2="Parcial",Legenda!$C$7,0))+IF(G2="otool + Ghidra",Legenda!$C$8,IF(OR(G2="otool",G2="Ghidra",G2="Outro binário"),Legenda!$C$9,0))+MIN(Legenda!$C$11,MAX(0,J2-1)*Legenda!$C$10))),IF(H2="Parcial",MIN(Legenda!$C$13,MIN(10,IF(E2="Sim",Legenda!$C$4,IF(E2="Parcial",Legenda!$C$5,0))+IF(F2="Sim",Legenda!$C$6,IF(F2="Parcial",Legenda!$C$7,0))+IF(G2="otool + Ghidra",Legenda!$C$8,IF(OR(G2="otool",G2="Ghidra",G2="Outro binário"),Legenda!$C$9,0))+MIN(Legenda!$C$11,MAX(0,J2-1)*Legenda!$C$10))),MIN(10,IF(E2="Sim",Legenda!$C$4,IF(E2="Parcial",Legenda!$C$5,0))+IF(F2="Sim",Legenda!$C$6,IF(F2="Parcial",Legenda!$C$7,0))+IF(G2="otool + Ghidra",Legenda!$C$8,IF(OR(G2="otool",G2="Ghidra",G2="Outro binário"),Legenda!$C$9,0))+MIN(Legenda!$C$11,MAX(0,J2-1)*Legenda!$C$10)))),1)</f>
        <v/>
      </c>
      <c r="M2" s="51" t="inlineStr">
        <is>
          <t>A1-ghidra/Q-410-0-reference-map.md §1</t>
        </is>
      </c>
      <c r="N2" s="51" t="inlineStr">
        <is>
          <t>—</t>
        </is>
      </c>
      <c r="O2" s="51" t="inlineStr">
        <is>
          <t>[2026-10-26] Vendor_ID do device = 0x7F5 (BridgeCo), unidade 0xD6C; não importa (probe por nome)</t>
        </is>
      </c>
      <c r="P2" s="51">
        <f>LEFT(A2,FIND(".",A2&amp;".")-1)</f>
        <v/>
      </c>
    </row>
    <row r="3" ht="22.35" customHeight="1" s="21">
      <c r="A3" s="51" t="inlineStr">
        <is>
          <t>410-0.1.2</t>
        </is>
      </c>
      <c r="B3" s="51" t="inlineStr">
        <is>
          <t>410-0.1</t>
        </is>
      </c>
      <c r="C3" s="51" t="inlineStr">
        <is>
          <t>Nomes e ícone</t>
        </is>
      </c>
      <c r="D3" s="51" t="inlineStr">
        <is>
          <t>"FireWire 410" / "FW410" / "FW 410 box.png"</t>
        </is>
      </c>
      <c r="E3" s="51" t="inlineStr">
        <is>
          <t>Sim</t>
        </is>
      </c>
      <c r="F3" s="51" t="inlineStr">
        <is>
          <t>Não</t>
        </is>
      </c>
      <c r="G3" s="51" t="inlineStr">
        <is>
          <t>Ghidra</t>
        </is>
      </c>
      <c r="H3" s="51" t="inlineStr">
        <is>
          <t>Não</t>
        </is>
      </c>
      <c r="I3" s="51" t="inlineStr">
        <is>
          <t>decomp GetDescriptionString/GetShortDescriptionString/GetIconName</t>
        </is>
      </c>
      <c r="J3" s="51">
        <f>IF(TRIM(I3)="",0,LEN(I3)-LEN(SUBSTITUTE(I3,";",""))+1)</f>
        <v/>
      </c>
      <c r="K3" s="51" t="inlineStr">
        <is>
          <t>Consistente</t>
        </is>
      </c>
      <c r="L3" s="51">
        <f>ROUND(IF(H3="Sim",MIN(Legenda!$C$12,MIN(10,IF(E3="Sim",Legenda!$C$4,IF(E3="Parcial",Legenda!$C$5,0))+IF(F3="Sim",Legenda!$C$6,IF(F3="Parcial",Legenda!$C$7,0))+IF(G3="otool + Ghidra",Legenda!$C$8,IF(OR(G3="otool",G3="Ghidra",G3="Outro binário"),Legenda!$C$9,0))+MIN(Legenda!$C$11,MAX(0,J3-1)*Legenda!$C$10))),IF(H3="Parcial",MIN(Legenda!$C$13,MIN(10,IF(E3="Sim",Legenda!$C$4,IF(E3="Parcial",Legenda!$C$5,0))+IF(F3="Sim",Legenda!$C$6,IF(F3="Parcial",Legenda!$C$7,0))+IF(G3="otool + Ghidra",Legenda!$C$8,IF(OR(G3="otool",G3="Ghidra",G3="Outro binário"),Legenda!$C$9,0))+MIN(Legenda!$C$11,MAX(0,J3-1)*Legenda!$C$10))),MIN(10,IF(E3="Sim",Legenda!$C$4,IF(E3="Parcial",Legenda!$C$5,0))+IF(F3="Sim",Legenda!$C$6,IF(F3="Parcial",Legenda!$C$7,0))+IF(G3="otool + Ghidra",Legenda!$C$8,IF(OR(G3="otool",G3="Ghidra",G3="Outro binário"),Legenda!$C$9,0))+MIN(Legenda!$C$11,MAX(0,J3-1)*Legenda!$C$10)))),1)</f>
        <v/>
      </c>
      <c r="M3" s="51" t="inlineStr">
        <is>
          <t>A1-ghidra/Q-410-0-reference-map.md §1</t>
        </is>
      </c>
      <c r="N3" s="51" t="inlineStr">
        <is>
          <t>—</t>
        </is>
      </c>
      <c r="O3" s="51" t="inlineStr">
        <is>
          <t>[2026-10-26]</t>
        </is>
      </c>
      <c r="P3" s="51">
        <f>LEFT(A3,FIND(".",A3&amp;".")-1)</f>
        <v/>
      </c>
    </row>
    <row r="4" ht="22.35" customHeight="1" s="21">
      <c r="A4" s="51" t="inlineStr">
        <is>
          <t>410-0.2.1</t>
        </is>
      </c>
      <c r="B4" s="51" t="inlineStr">
        <is>
          <t>410-0.2</t>
        </is>
      </c>
      <c r="C4" s="51" t="inlineStr">
        <is>
          <t>Canais por taxa</t>
        </is>
      </c>
      <c r="D4" s="51" t="inlineStr">
        <is>
          <t>≤96 kHz: 4/4 in, 10/10 out, MIDI 1 (0x4ae20); 176.4/192: 2/8 (0x4ad40); grupos in 1 analog, in 2 S/PDIF, out 1-4 analog, out 5 S/PDIF</t>
        </is>
      </c>
      <c r="E4" s="51" t="inlineStr">
        <is>
          <t>Sim</t>
        </is>
      </c>
      <c r="F4" s="51" t="inlineStr">
        <is>
          <t>Sim</t>
        </is>
      </c>
      <c r="G4" s="51" t="inlineStr">
        <is>
          <t>otool + python</t>
        </is>
      </c>
      <c r="H4" s="51" t="inlineStr">
        <is>
          <t>Não</t>
        </is>
      </c>
      <c r="I4" s="51" t="inlineStr">
        <is>
          <t>lea 0x14010/0x14017; bytes 0x4ae20/0x4ad40; captura 103 rates</t>
        </is>
      </c>
      <c r="J4" s="51">
        <f>IF(TRIM(I4)="",0,LEN(I4)-LEN(SUBSTITUTE(I4,";",""))+1)</f>
        <v/>
      </c>
      <c r="K4" s="51" t="inlineStr">
        <is>
          <t>Consistente</t>
        </is>
      </c>
      <c r="L4" s="51">
        <f>ROUND(IF(H4="Sim",MIN(Legenda!$C$12,MIN(10,IF(E4="Sim",Legenda!$C$4,IF(E4="Parcial",Legenda!$C$5,0))+IF(F4="Sim",Legenda!$C$6,IF(F4="Parcial",Legenda!$C$7,0))+IF(G4="otool + Ghidra",Legenda!$C$8,IF(OR(G4="otool",G4="Ghidra",G4="Outro binário"),Legenda!$C$9,0))+MIN(Legenda!$C$11,MAX(0,J4-1)*Legenda!$C$10))),IF(H4="Parcial",MIN(Legenda!$C$13,MIN(10,IF(E4="Sim",Legenda!$C$4,IF(E4="Parcial",Legenda!$C$5,0))+IF(F4="Sim",Legenda!$C$6,IF(F4="Parcial",Legenda!$C$7,0))+IF(G4="otool + Ghidra",Legenda!$C$8,IF(OR(G4="otool",G4="Ghidra",G4="Outro binário"),Legenda!$C$9,0))+MIN(Legenda!$C$11,MAX(0,J4-1)*Legenda!$C$10))),MIN(10,IF(E4="Sim",Legenda!$C$4,IF(E4="Parcial",Legenda!$C$5,0))+IF(F4="Sim",Legenda!$C$6,IF(F4="Parcial",Legenda!$C$7,0))+IF(G4="otool + Ghidra",Legenda!$C$8,IF(OR(G4="otool",G4="Ghidra",G4="Outro binário"),Legenda!$C$9,0))+MIN(Legenda!$C$11,MAX(0,J4-1)*Legenda!$C$10)))),1)</f>
        <v/>
      </c>
      <c r="M4" s="51" t="inlineStr">
        <is>
          <t>A1-ghidra/Q-410-0-reference-map.md §2</t>
        </is>
      </c>
      <c r="N4" s="51" t="inlineStr">
        <is>
          <t>—</t>
        </is>
      </c>
      <c r="O4" s="51" t="inlineStr">
        <is>
          <t>[2026-10-26] 0x4ac60 é a cópia de runtime do 1814, não do 410</t>
        </is>
      </c>
      <c r="P4" s="51">
        <f>LEFT(A4,FIND(".",A4&amp;".")-1)</f>
        <v/>
      </c>
    </row>
    <row r="5" ht="22.35" customHeight="1" s="21">
      <c r="A5" s="51" t="inlineStr">
        <is>
          <t>410-0.2.2</t>
        </is>
      </c>
      <c r="B5" s="51" t="inlineStr">
        <is>
          <t>410-0.2</t>
        </is>
      </c>
      <c r="C5" s="51" t="inlineStr">
        <is>
          <t>Taxas suportadas</t>
        </is>
      </c>
      <c r="D5" s="51" t="inlineStr">
        <is>
          <t>44.1, 48, 88.2, 96, 176.4, 192 (0x2fa10), in = out</t>
        </is>
      </c>
      <c r="E5" s="51" t="inlineStr">
        <is>
          <t>Sim</t>
        </is>
      </c>
      <c r="F5" s="51" t="inlineStr">
        <is>
          <t>Sim</t>
        </is>
      </c>
      <c r="G5" s="51" t="inlineStr">
        <is>
          <t>otool</t>
        </is>
      </c>
      <c r="H5" s="51" t="inlineStr">
        <is>
          <t>Não</t>
        </is>
      </c>
      <c r="I5" s="51" t="inlineStr">
        <is>
          <t>bytes 0x2fa10; captura 103</t>
        </is>
      </c>
      <c r="J5" s="51">
        <f>IF(TRIM(I5)="",0,LEN(I5)-LEN(SUBSTITUTE(I5,";",""))+1)</f>
        <v/>
      </c>
      <c r="K5" s="51" t="inlineStr">
        <is>
          <t>Consistente</t>
        </is>
      </c>
      <c r="L5" s="51">
        <f>ROUND(IF(H5="Sim",MIN(Legenda!$C$12,MIN(10,IF(E5="Sim",Legenda!$C$4,IF(E5="Parcial",Legenda!$C$5,0))+IF(F5="Sim",Legenda!$C$6,IF(F5="Parcial",Legenda!$C$7,0))+IF(G5="otool + Ghidra",Legenda!$C$8,IF(OR(G5="otool",G5="Ghidra",G5="Outro binário"),Legenda!$C$9,0))+MIN(Legenda!$C$11,MAX(0,J5-1)*Legenda!$C$10))),IF(H5="Parcial",MIN(Legenda!$C$13,MIN(10,IF(E5="Sim",Legenda!$C$4,IF(E5="Parcial",Legenda!$C$5,0))+IF(F5="Sim",Legenda!$C$6,IF(F5="Parcial",Legenda!$C$7,0))+IF(G5="otool + Ghidra",Legenda!$C$8,IF(OR(G5="otool",G5="Ghidra",G5="Outro binário"),Legenda!$C$9,0))+MIN(Legenda!$C$11,MAX(0,J5-1)*Legenda!$C$10))),MIN(10,IF(E5="Sim",Legenda!$C$4,IF(E5="Parcial",Legenda!$C$5,0))+IF(F5="Sim",Legenda!$C$6,IF(F5="Parcial",Legenda!$C$7,0))+IF(G5="otool + Ghidra",Legenda!$C$8,IF(OR(G5="otool",G5="Ghidra",G5="Outro binário"),Legenda!$C$9,0))+MIN(Legenda!$C$11,MAX(0,J5-1)*Legenda!$C$10)))),1)</f>
        <v/>
      </c>
      <c r="M5" s="51" t="inlineStr">
        <is>
          <t>A1-ghidra/Q-410-0-reference-map.md §2</t>
        </is>
      </c>
      <c r="N5" s="51" t="inlineStr">
        <is>
          <t>—</t>
        </is>
      </c>
      <c r="O5" s="51" t="inlineStr">
        <is>
          <t>[2026-10-26]</t>
        </is>
      </c>
      <c r="P5" s="51">
        <f>LEFT(A5,FIND(".",A5&amp;".")-1)</f>
        <v/>
      </c>
    </row>
    <row r="6" ht="32.8" customHeight="1" s="21">
      <c r="A6" s="51" t="inlineStr">
        <is>
          <t>410-0.2.3</t>
        </is>
      </c>
      <c r="B6" s="51" t="inlineStr">
        <is>
          <t>410-0.2</t>
        </is>
      </c>
      <c r="C6" s="51" t="inlineStr">
        <is>
          <t>Latência por FDF</t>
        </is>
      </c>
      <c r="D6" s="51" t="inlineStr">
        <is>
          <t>2→0xa0, 3→0xfe, 4→0xf5, 5→0x1b8, 6→0x1e0, senão 0x96</t>
        </is>
      </c>
      <c r="E6" s="51" t="inlineStr">
        <is>
          <t>Sim</t>
        </is>
      </c>
      <c r="F6" s="51" t="inlineStr">
        <is>
          <t>Não</t>
        </is>
      </c>
      <c r="G6" s="51" t="inlineStr">
        <is>
          <t>Ghidra</t>
        </is>
      </c>
      <c r="H6" s="51" t="inlineStr">
        <is>
          <t>Não</t>
        </is>
      </c>
      <c r="I6" s="51" t="inlineStr">
        <is>
          <t>decomp GetRoundTripLatencyForFDF</t>
        </is>
      </c>
      <c r="J6" s="51">
        <f>IF(TRIM(I6)="",0,LEN(I6)-LEN(SUBSTITUTE(I6,";",""))+1)</f>
        <v/>
      </c>
      <c r="K6" s="51" t="inlineStr">
        <is>
          <t>Consistente</t>
        </is>
      </c>
      <c r="L6" s="51">
        <f>ROUND(IF(H6="Sim",MIN(Legenda!$C$12,MIN(10,IF(E6="Sim",Legenda!$C$4,IF(E6="Parcial",Legenda!$C$5,0))+IF(F6="Sim",Legenda!$C$6,IF(F6="Parcial",Legenda!$C$7,0))+IF(G6="otool + Ghidra",Legenda!$C$8,IF(OR(G6="otool",G6="Ghidra",G6="Outro binário"),Legenda!$C$9,0))+MIN(Legenda!$C$11,MAX(0,J6-1)*Legenda!$C$10))),IF(H6="Parcial",MIN(Legenda!$C$13,MIN(10,IF(E6="Sim",Legenda!$C$4,IF(E6="Parcial",Legenda!$C$5,0))+IF(F6="Sim",Legenda!$C$6,IF(F6="Parcial",Legenda!$C$7,0))+IF(G6="otool + Ghidra",Legenda!$C$8,IF(OR(G6="otool",G6="Ghidra",G6="Outro binário"),Legenda!$C$9,0))+MIN(Legenda!$C$11,MAX(0,J6-1)*Legenda!$C$10))),MIN(10,IF(E6="Sim",Legenda!$C$4,IF(E6="Parcial",Legenda!$C$5,0))+IF(F6="Sim",Legenda!$C$6,IF(F6="Parcial",Legenda!$C$7,0))+IF(G6="otool + Ghidra",Legenda!$C$8,IF(OR(G6="otool",G6="Ghidra",G6="Outro binário"),Legenda!$C$9,0))+MIN(Legenda!$C$11,MAX(0,J6-1)*Legenda!$C$10)))),1)</f>
        <v/>
      </c>
      <c r="M6" s="51" t="inlineStr">
        <is>
          <t>A1-ghidra/Q-410-0-reference-map.md §2</t>
        </is>
      </c>
      <c r="N6" s="51" t="inlineStr">
        <is>
          <t>—</t>
        </is>
      </c>
      <c r="O6" s="51" t="inlineStr">
        <is>
          <t>[2026-10-26] registry por taxa no README da captura 103</t>
        </is>
      </c>
      <c r="P6" s="51">
        <f>LEFT(A6,FIND(".",A6&amp;".")-1)</f>
        <v/>
      </c>
    </row>
    <row r="7" ht="22.35" customHeight="1" s="21">
      <c r="A7" s="51" t="inlineStr">
        <is>
          <t>410-0.2.4</t>
        </is>
      </c>
      <c r="B7" s="51" t="inlineStr">
        <is>
          <t>410-0.2</t>
        </is>
      </c>
      <c r="C7" s="51" t="inlineStr">
        <is>
          <t>SetupAudioEngine</t>
        </is>
      </c>
      <c r="D7" s="51" t="inlineStr">
        <is>
          <t>MIDI 1/1, contagens, procs LLRR10WithMIDI / SamplePeaks10 / ConvertLLRR4SkipMIDI1, flags +0x2d6 +0x34a +0x34b</t>
        </is>
      </c>
      <c r="E7" s="51" t="inlineStr">
        <is>
          <t>Sim</t>
        </is>
      </c>
      <c r="F7" s="51" t="inlineStr">
        <is>
          <t>Parcial</t>
        </is>
      </c>
      <c r="G7" s="51" t="inlineStr">
        <is>
          <t>Ghidra + otool</t>
        </is>
      </c>
      <c r="H7" s="51" t="inlineStr">
        <is>
          <t>Não</t>
        </is>
      </c>
      <c r="I7" s="51" t="inlineStr">
        <is>
          <t>decomp; asm 0x15526</t>
        </is>
      </c>
      <c r="J7" s="51">
        <f>IF(TRIM(I7)="",0,LEN(I7)-LEN(SUBSTITUTE(I7,";",""))+1)</f>
        <v/>
      </c>
      <c r="K7" s="51" t="inlineStr">
        <is>
          <t>Consistente</t>
        </is>
      </c>
      <c r="L7" s="51">
        <f>ROUND(IF(H7="Sim",MIN(Legenda!$C$12,MIN(10,IF(E7="Sim",Legenda!$C$4,IF(E7="Parcial",Legenda!$C$5,0))+IF(F7="Sim",Legenda!$C$6,IF(F7="Parcial",Legenda!$C$7,0))+IF(G7="otool + Ghidra",Legenda!$C$8,IF(OR(G7="otool",G7="Ghidra",G7="Outro binário"),Legenda!$C$9,0))+MIN(Legenda!$C$11,MAX(0,J7-1)*Legenda!$C$10))),IF(H7="Parcial",MIN(Legenda!$C$13,MIN(10,IF(E7="Sim",Legenda!$C$4,IF(E7="Parcial",Legenda!$C$5,0))+IF(F7="Sim",Legenda!$C$6,IF(F7="Parcial",Legenda!$C$7,0))+IF(G7="otool + Ghidra",Legenda!$C$8,IF(OR(G7="otool",G7="Ghidra",G7="Outro binário"),Legenda!$C$9,0))+MIN(Legenda!$C$11,MAX(0,J7-1)*Legenda!$C$10))),MIN(10,IF(E7="Sim",Legenda!$C$4,IF(E7="Parcial",Legenda!$C$5,0))+IF(F7="Sim",Legenda!$C$6,IF(F7="Parcial",Legenda!$C$7,0))+IF(G7="otool + Ghidra",Legenda!$C$8,IF(OR(G7="otool",G7="Ghidra",G7="Outro binário"),Legenda!$C$9,0))+MIN(Legenda!$C$11,MAX(0,J7-1)*Legenda!$C$10)))),1)</f>
        <v/>
      </c>
      <c r="M7" s="51" t="inlineStr">
        <is>
          <t>A1-ghidra/Q-410-0-reference-map.md §2</t>
        </is>
      </c>
      <c r="N7" s="51" t="inlineStr">
        <is>
          <t>—</t>
        </is>
      </c>
      <c r="O7" s="51" t="inlineStr">
        <is>
          <t>[2026-10-26] +0x34b sem leitor encontrado (B-5)</t>
        </is>
      </c>
      <c r="P7" s="51">
        <f>LEFT(A7,FIND(".",A7&amp;".")-1)</f>
        <v/>
      </c>
    </row>
    <row r="8" ht="22.35" customHeight="1" s="21">
      <c r="A8" s="51" t="inlineStr">
        <is>
          <t>410-0.2.5</t>
        </is>
      </c>
      <c r="B8" s="51" t="inlineStr">
        <is>
          <t>410-0.2</t>
        </is>
      </c>
      <c r="C8" s="51" t="inlineStr">
        <is>
          <t>Rearrange LLRR10WithMIDI</t>
        </is>
      </c>
      <c r="D8" s="51" t="inlineStr">
        <is>
          <t>stride 10/11, ordem 8 0 2 4 6 9 1 3 5 7</t>
        </is>
      </c>
      <c r="E8" s="51" t="inlineStr">
        <is>
          <t>Sim</t>
        </is>
      </c>
      <c r="F8" s="51" t="inlineStr">
        <is>
          <t>Não</t>
        </is>
      </c>
      <c r="G8" s="51" t="inlineStr">
        <is>
          <t>otool</t>
        </is>
      </c>
      <c r="H8" s="51" t="inlineStr">
        <is>
          <t>Não</t>
        </is>
      </c>
      <c r="I8" s="51" t="inlineStr">
        <is>
          <t>mafw.asm 51942-52130</t>
        </is>
      </c>
      <c r="J8" s="51">
        <f>IF(TRIM(I8)="",0,LEN(I8)-LEN(SUBSTITUTE(I8,";",""))+1)</f>
        <v/>
      </c>
      <c r="K8" s="51" t="inlineStr">
        <is>
          <t>Consistente</t>
        </is>
      </c>
      <c r="L8" s="51">
        <f>ROUND(IF(H8="Sim",MIN(Legenda!$C$12,MIN(10,IF(E8="Sim",Legenda!$C$4,IF(E8="Parcial",Legenda!$C$5,0))+IF(F8="Sim",Legenda!$C$6,IF(F8="Parcial",Legenda!$C$7,0))+IF(G8="otool + Ghidra",Legenda!$C$8,IF(OR(G8="otool",G8="Ghidra",G8="Outro binário"),Legenda!$C$9,0))+MIN(Legenda!$C$11,MAX(0,J8-1)*Legenda!$C$10))),IF(H8="Parcial",MIN(Legenda!$C$13,MIN(10,IF(E8="Sim",Legenda!$C$4,IF(E8="Parcial",Legenda!$C$5,0))+IF(F8="Sim",Legenda!$C$6,IF(F8="Parcial",Legenda!$C$7,0))+IF(G8="otool + Ghidra",Legenda!$C$8,IF(OR(G8="otool",G8="Ghidra",G8="Outro binário"),Legenda!$C$9,0))+MIN(Legenda!$C$11,MAX(0,J8-1)*Legenda!$C$10))),MIN(10,IF(E8="Sim",Legenda!$C$4,IF(E8="Parcial",Legenda!$C$5,0))+IF(F8="Sim",Legenda!$C$6,IF(F8="Parcial",Legenda!$C$7,0))+IF(G8="otool + Ghidra",Legenda!$C$8,IF(OR(G8="otool",G8="Ghidra",G8="Outro binário"),Legenda!$C$9,0))+MIN(Legenda!$C$11,MAX(0,J8-1)*Legenda!$C$10)))),1)</f>
        <v/>
      </c>
      <c r="M8" s="51" t="inlineStr">
        <is>
          <t>A1-ghidra/Q-410-0-reference-map.md §2</t>
        </is>
      </c>
      <c r="N8" s="51" t="inlineStr">
        <is>
          <t>—</t>
        </is>
      </c>
      <c r="O8" s="51" t="inlineStr">
        <is>
          <t>[2026-10-26] falta no clone (B-1)</t>
        </is>
      </c>
      <c r="P8" s="51">
        <f>LEFT(A8,FIND(".",A8&amp;".")-1)</f>
        <v/>
      </c>
    </row>
    <row r="9" ht="22.35" customHeight="1" s="21">
      <c r="A9" s="51" t="inlineStr">
        <is>
          <t>410-0.2.6</t>
        </is>
      </c>
      <c r="B9" s="51" t="inlineStr">
        <is>
          <t>410-0.2</t>
        </is>
      </c>
      <c r="C9" s="51" t="inlineStr">
        <is>
          <t>SamplePeaks10</t>
        </is>
      </c>
      <c r="D9" s="51" t="inlineStr">
        <is>
          <t>identidade, 10 canais, grupos de 8 quadros</t>
        </is>
      </c>
      <c r="E9" s="51" t="inlineStr">
        <is>
          <t>Sim</t>
        </is>
      </c>
      <c r="F9" s="51" t="inlineStr">
        <is>
          <t>Não</t>
        </is>
      </c>
      <c r="G9" s="51" t="inlineStr">
        <is>
          <t>Ghidra</t>
        </is>
      </c>
      <c r="H9" s="51" t="inlineStr">
        <is>
          <t>Não</t>
        </is>
      </c>
      <c r="I9" s="51" t="inlineStr">
        <is>
          <t>decomp _SamplePeaks10</t>
        </is>
      </c>
      <c r="J9" s="51">
        <f>IF(TRIM(I9)="",0,LEN(I9)-LEN(SUBSTITUTE(I9,";",""))+1)</f>
        <v/>
      </c>
      <c r="K9" s="51" t="inlineStr">
        <is>
          <t>Consistente</t>
        </is>
      </c>
      <c r="L9" s="51">
        <f>ROUND(IF(H9="Sim",MIN(Legenda!$C$12,MIN(10,IF(E9="Sim",Legenda!$C$4,IF(E9="Parcial",Legenda!$C$5,0))+IF(F9="Sim",Legenda!$C$6,IF(F9="Parcial",Legenda!$C$7,0))+IF(G9="otool + Ghidra",Legenda!$C$8,IF(OR(G9="otool",G9="Ghidra",G9="Outro binário"),Legenda!$C$9,0))+MIN(Legenda!$C$11,MAX(0,J9-1)*Legenda!$C$10))),IF(H9="Parcial",MIN(Legenda!$C$13,MIN(10,IF(E9="Sim",Legenda!$C$4,IF(E9="Parcial",Legenda!$C$5,0))+IF(F9="Sim",Legenda!$C$6,IF(F9="Parcial",Legenda!$C$7,0))+IF(G9="otool + Ghidra",Legenda!$C$8,IF(OR(G9="otool",G9="Ghidra",G9="Outro binário"),Legenda!$C$9,0))+MIN(Legenda!$C$11,MAX(0,J9-1)*Legenda!$C$10))),MIN(10,IF(E9="Sim",Legenda!$C$4,IF(E9="Parcial",Legenda!$C$5,0))+IF(F9="Sim",Legenda!$C$6,IF(F9="Parcial",Legenda!$C$7,0))+IF(G9="otool + Ghidra",Legenda!$C$8,IF(OR(G9="otool",G9="Ghidra",G9="Outro binário"),Legenda!$C$9,0))+MIN(Legenda!$C$11,MAX(0,J9-1)*Legenda!$C$10)))),1)</f>
        <v/>
      </c>
      <c r="M9" s="51" t="inlineStr">
        <is>
          <t>A1-ghidra/Q-410-0-reference-map.md §2</t>
        </is>
      </c>
      <c r="N9" s="51" t="inlineStr">
        <is>
          <t>—</t>
        </is>
      </c>
      <c r="O9" s="51" t="inlineStr">
        <is>
          <t>[2026-10-26] falta no clone (B-1)</t>
        </is>
      </c>
      <c r="P9" s="51">
        <f>LEFT(A9,FIND(".",A9&amp;".")-1)</f>
        <v/>
      </c>
    </row>
    <row r="10" ht="22.35" customHeight="1" s="21">
      <c r="A10" s="51" t="inlineStr">
        <is>
          <t>410-0.2.7</t>
        </is>
      </c>
      <c r="B10" s="51" t="inlineStr">
        <is>
          <t>410-0.2</t>
        </is>
      </c>
      <c r="C10" s="51" t="inlineStr">
        <is>
          <t>UID do engine</t>
        </is>
      </c>
      <c r="D10" s="51" t="inlineStr">
        <is>
          <t>[+0x34a] → "com_m_audio_FWEngine1:&lt;GUID&gt;"</t>
        </is>
      </c>
      <c r="E10" s="51" t="inlineStr">
        <is>
          <t>Sim</t>
        </is>
      </c>
      <c r="F10" s="51" t="inlineStr">
        <is>
          <t>Sim</t>
        </is>
      </c>
      <c r="G10" s="51" t="inlineStr">
        <is>
          <t>otool</t>
        </is>
      </c>
      <c r="H10" s="51" t="inlineStr">
        <is>
          <t>Não</t>
        </is>
      </c>
      <c r="I10" s="51" t="inlineStr">
        <is>
          <t>asm 0x5b95-0x5ba8; captura 103 pairs-hal</t>
        </is>
      </c>
      <c r="J10" s="51">
        <f>IF(TRIM(I10)="",0,LEN(I10)-LEN(SUBSTITUTE(I10,";",""))+1)</f>
        <v/>
      </c>
      <c r="K10" s="51" t="inlineStr">
        <is>
          <t>Consistente</t>
        </is>
      </c>
      <c r="L10" s="51">
        <f>ROUND(IF(H10="Sim",MIN(Legenda!$C$12,MIN(10,IF(E10="Sim",Legenda!$C$4,IF(E10="Parcial",Legenda!$C$5,0))+IF(F10="Sim",Legenda!$C$6,IF(F10="Parcial",Legenda!$C$7,0))+IF(G10="otool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binário"),Legenda!$C$9,0))+MIN(Legenda!$C$11,MAX(0,J10-1)*Legenda!$C$10))),IF(H10="Parcial",MIN(Legenda!$C$13,MIN(10,IF(E10="Sim",Legenda!$C$4,IF(E10="Parcial",Legenda!$C$5,0))+IF(F10="Sim",Legenda!$C$6,IF(F10="Parcial",Legenda!$C$7,0))+IF(G10="otool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binário"),Legenda!$C$9,0))+MIN(Legenda!$C$11,MAX(0,J10-1)*Legenda!$C$10)))),1)</f>
        <v/>
      </c>
      <c r="M10" s="51" t="inlineStr">
        <is>
          <t>A1-ghidra/Q-410-0-reference-map.md §2, §9</t>
        </is>
      </c>
      <c r="N10" s="51" t="inlineStr">
        <is>
          <t>—</t>
        </is>
      </c>
      <c r="O10" s="51" t="inlineStr">
        <is>
          <t>[2026-10-26] falta no clone (B-2)</t>
        </is>
      </c>
      <c r="P10" s="51">
        <f>LEFT(A10,FIND(".",A10&amp;".")-1)</f>
        <v/>
      </c>
    </row>
    <row r="11" ht="22.35" customHeight="1" s="21">
      <c r="A11" s="51" t="inlineStr">
        <is>
          <t>410-0.2.8</t>
        </is>
      </c>
      <c r="B11" s="51" t="inlineStr">
        <is>
          <t>410-0.2</t>
        </is>
      </c>
      <c r="C11" s="51" t="inlineStr">
        <is>
          <t>Tabelas de remap 192 kHz</t>
        </is>
      </c>
      <c r="D11" s="51" t="inlineStr">
        <is>
          <t>DeviceChannels +0x18/+0x20 = ponteiros 0x2f9e0 / 0x2f9f0 no 0x4ad40</t>
        </is>
      </c>
      <c r="E11" s="51" t="inlineStr">
        <is>
          <t>Parcial</t>
        </is>
      </c>
      <c r="F11" s="51" t="inlineStr">
        <is>
          <t>Não</t>
        </is>
      </c>
      <c r="G11" s="51" t="inlineStr">
        <is>
          <t>python</t>
        </is>
      </c>
      <c r="H11" s="51" t="inlineStr">
        <is>
          <t>Sim</t>
        </is>
      </c>
      <c r="I11" s="51" t="inlineStr">
        <is>
          <t>bytes 0x4ad40; ConvertInputSampleData @0x4624</t>
        </is>
      </c>
      <c r="J11" s="51">
        <f>IF(TRIM(I11)="",0,LEN(I11)-LEN(SUBSTITUTE(I11,";",""))+1)</f>
        <v/>
      </c>
      <c r="K11" s="51" t="inlineStr">
        <is>
          <t>Aberto / não resolvido</t>
        </is>
      </c>
      <c r="L11" s="51">
        <f>ROUND(IF(H11="Sim",MIN(Legenda!$C$12,MIN(10,IF(E11="Sim",Legenda!$C$4,IF(E11="Parcial",Legenda!$C$5,0))+IF(F11="Sim",Legenda!$C$6,IF(F11="Parcial",Legenda!$C$7,0))+IF(G11="otool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binário"),Legenda!$C$9,0))+MIN(Legenda!$C$11,MAX(0,J11-1)*Legenda!$C$10))),IF(H11="Parcial",MIN(Legenda!$C$13,MIN(10,IF(E11="Sim",Legenda!$C$4,IF(E11="Parcial",Legenda!$C$5,0))+IF(F11="Sim",Legenda!$C$6,IF(F11="Parcial",Legenda!$C$7,0))+IF(G11="otool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binário"),Legenda!$C$9,0))+MIN(Legenda!$C$11,MAX(0,J11-1)*Legenda!$C$10)))),1)</f>
        <v/>
      </c>
      <c r="M11" s="51" t="inlineStr">
        <is>
          <t>A1-ghidra/Q-410-0-reference-map.md §2</t>
        </is>
      </c>
      <c r="N11" s="51" t="inlineStr">
        <is>
          <t>—</t>
        </is>
      </c>
      <c r="O11" s="51" t="inlineStr">
        <is>
          <t>[2026-10-26] hipótese: remap de canais; decodificar (B-3a)</t>
        </is>
      </c>
      <c r="P11" s="51">
        <f>LEFT(A11,FIND(".",A11&amp;".")-1)</f>
        <v/>
      </c>
    </row>
    <row r="12" ht="22.35" customHeight="1" s="21">
      <c r="A12" s="51" t="inlineStr">
        <is>
          <t>410-0.3.1</t>
        </is>
      </c>
      <c r="B12" s="51" t="inlineStr">
        <is>
          <t>410-0.3</t>
        </is>
      </c>
      <c r="C12" s="51" t="inlineStr">
        <is>
          <t>Pacote de status</t>
        </is>
      </c>
      <c r="D12" s="51" t="inlineStr">
        <is>
          <t>0x4c bytes; slots 0-3 hw in, 4-13 SW return (host), 14-27 hw out; q18 lock/FDF/encoder</t>
        </is>
      </c>
      <c r="E12" s="51" t="inlineStr">
        <is>
          <t>Sim</t>
        </is>
      </c>
      <c r="F12" s="51" t="inlineStr">
        <is>
          <t>Não</t>
        </is>
      </c>
      <c r="G12" s="51" t="inlineStr">
        <is>
          <t>Ghidra</t>
        </is>
      </c>
      <c r="H12" s="51" t="inlineStr">
        <is>
          <t>Não</t>
        </is>
      </c>
      <c r="I12" s="51" t="inlineStr">
        <is>
          <t>decomp ReadHSCIData; snd-bebob METER_SIZE_FW410 76</t>
        </is>
      </c>
      <c r="J12" s="51">
        <f>IF(TRIM(I12)="",0,LEN(I12)-LEN(SUBSTITUTE(I12,";",""))+1)</f>
        <v/>
      </c>
      <c r="K12" s="51" t="inlineStr">
        <is>
          <t>Consistente</t>
        </is>
      </c>
      <c r="L12" s="51">
        <f>ROUND(IF(H12="Sim",MIN(Legenda!$C$12,MIN(10,IF(E12="Sim",Legenda!$C$4,IF(E12="Parcial",Legenda!$C$5,0))+IF(F12="Sim",Legenda!$C$6,IF(F12="Parcial",Legenda!$C$7,0))+IF(G12="otool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binário"),Legenda!$C$9,0))+MIN(Legenda!$C$11,MAX(0,J12-1)*Legenda!$C$10))),IF(H12="Parcial",MIN(Legenda!$C$13,MIN(10,IF(E12="Sim",Legenda!$C$4,IF(E12="Parcial",Legenda!$C$5,0))+IF(F12="Sim",Legenda!$C$6,IF(F12="Parcial",Legenda!$C$7,0))+IF(G12="otool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binário"),Legenda!$C$9,0))+MIN(Legenda!$C$11,MAX(0,J12-1)*Legenda!$C$10)))),1)</f>
        <v/>
      </c>
      <c r="M12" s="51" t="inlineStr">
        <is>
          <t>A1-ghidra/Q-410-0-reference-map.md §3</t>
        </is>
      </c>
      <c r="N12" s="51" t="inlineStr">
        <is>
          <t>—</t>
        </is>
      </c>
      <c r="O12" s="51" t="inlineStr">
        <is>
          <t>[2026-10-26] um encoder, sem A/B</t>
        </is>
      </c>
      <c r="P12" s="51">
        <f>LEFT(A12,FIND(".",A12&amp;".")-1)</f>
        <v/>
      </c>
    </row>
    <row r="13" ht="22.35" customHeight="1" s="21">
      <c r="A13" s="51" t="inlineStr">
        <is>
          <t>410-0.4.1</t>
        </is>
      </c>
      <c r="B13" s="51" t="inlineStr">
        <is>
          <t>410-0.4</t>
        </is>
      </c>
      <c r="C13" s="51" t="inlineStr">
        <is>
          <t>Clock</t>
        </is>
      </c>
      <c r="D13" s="51" t="inlineStr">
        <is>
          <t>interno tipo 0; S/PDIF coax (bit 2) tipo 4, óptico tipo 3; gate bit 30</t>
        </is>
      </c>
      <c r="E13" s="51" t="inlineStr">
        <is>
          <t>Sim</t>
        </is>
      </c>
      <c r="F13" s="51" t="inlineStr">
        <is>
          <t>Sim</t>
        </is>
      </c>
      <c r="G13" s="51" t="inlineStr">
        <is>
          <t>otool</t>
        </is>
      </c>
      <c r="H13" s="51" t="inlineStr">
        <is>
          <t>Não</t>
        </is>
      </c>
      <c r="I13" s="51" t="inlineStr">
        <is>
          <t>asm 0x14eda-0x14f56; captura 103 MAClockSource</t>
        </is>
      </c>
      <c r="J13" s="51">
        <f>IF(TRIM(I13)="",0,LEN(I13)-LEN(SUBSTITUTE(I13,";",""))+1)</f>
        <v/>
      </c>
      <c r="K13" s="51" t="inlineStr">
        <is>
          <t>Corrigido 2026-10-26</t>
        </is>
      </c>
      <c r="L13" s="51">
        <f>ROUND(IF(H13="Sim",MIN(Legenda!$C$12,MIN(10,IF(E13="Sim",Legenda!$C$4,IF(E13="Parcial",Legenda!$C$5,0))+IF(F13="Sim",Legenda!$C$6,IF(F13="Parcial",Legenda!$C$7,0))+IF(G13="otool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binário"),Legenda!$C$9,0))+MIN(Legenda!$C$11,MAX(0,J13-1)*Legenda!$C$10))),IF(H13="Parcial",MIN(Legenda!$C$13,MIN(10,IF(E13="Sim",Legenda!$C$4,IF(E13="Parcial",Legenda!$C$5,0))+IF(F13="Sim",Legenda!$C$6,IF(F13="Parcial",Legenda!$C$7,0))+IF(G13="otool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binário"),Legenda!$C$9,0))+MIN(Legenda!$C$11,MAX(0,J13-1)*Legenda!$C$10)))),1)</f>
        <v/>
      </c>
      <c r="M13" s="51" t="inlineStr">
        <is>
          <t>A1-ghidra/Q-410-0-reference-map.md §4</t>
        </is>
      </c>
      <c r="N13" s="51" t="inlineStr">
        <is>
          <t>AUD-410-03</t>
        </is>
      </c>
      <c r="O13" s="51" t="inlineStr">
        <is>
          <t>[2026-10-26] o decompile misturava clk e blank</t>
        </is>
      </c>
      <c r="P13" s="51">
        <f>LEFT(A13,FIND(".",A13&amp;".")-1)</f>
        <v/>
      </c>
    </row>
    <row r="14" ht="22.35" customHeight="1" s="21">
      <c r="A14" s="51" t="inlineStr">
        <is>
          <t>410-0.5.1</t>
        </is>
      </c>
      <c r="B14" s="51" t="inlineStr">
        <is>
          <t>410-0.5</t>
        </is>
      </c>
      <c r="C14" s="51" t="inlineStr">
        <is>
          <t>Mixer por registradores</t>
        </is>
      </c>
      <c r="D14" s="51" t="inlineStr">
        <is>
          <t>todos os setters via CustomMixerWriteQuads (vt 0xba8) em 0xFFC7:0x00700000+off</t>
        </is>
      </c>
      <c r="E14" s="51" t="inlineStr">
        <is>
          <t>Sim</t>
        </is>
      </c>
      <c r="F14" s="51" t="inlineStr">
        <is>
          <t>Não</t>
        </is>
      </c>
      <c r="G14" s="51" t="inlineStr">
        <is>
          <t>python (vtable) + Ghidra</t>
        </is>
      </c>
      <c r="H14" s="51" t="inlineStr">
        <is>
          <t>Não</t>
        </is>
      </c>
      <c r="I14" s="51" t="inlineStr">
        <is>
          <t>vtable 0x3c600 slot 0xba8 = 0x22c7a; decomps</t>
        </is>
      </c>
      <c r="J14" s="51">
        <f>IF(TRIM(I14)="",0,LEN(I14)-LEN(SUBSTITUTE(I14,";",""))+1)</f>
        <v/>
      </c>
      <c r="K14" s="51" t="inlineStr">
        <is>
          <t>Consistente</t>
        </is>
      </c>
      <c r="L14" s="51">
        <f>ROUND(IF(H14="Sim",MIN(Legenda!$C$12,MIN(10,IF(E14="Sim",Legenda!$C$4,IF(E14="Parcial",Legenda!$C$5,0))+IF(F14="Sim",Legenda!$C$6,IF(F14="Parcial",Legenda!$C$7,0))+IF(G14="otool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binário"),Legenda!$C$9,0))+MIN(Legenda!$C$11,MAX(0,J14-1)*Legenda!$C$10))),IF(H14="Parcial",MIN(Legenda!$C$13,MIN(10,IF(E14="Sim",Legenda!$C$4,IF(E14="Parcial",Legenda!$C$5,0))+IF(F14="Sim",Legenda!$C$6,IF(F14="Parcial",Legenda!$C$7,0))+IF(G14="otool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binário"),Legenda!$C$9,0))+MIN(Legenda!$C$11,MAX(0,J14-1)*Legenda!$C$10)))),1)</f>
        <v/>
      </c>
      <c r="M14" s="51" t="inlineStr">
        <is>
          <t>A1-ghidra/Q-410-0-reference-map.md §5</t>
        </is>
      </c>
      <c r="N14" s="51" t="inlineStr">
        <is>
          <t>AUD-410-01</t>
        </is>
      </c>
      <c r="O14" s="51" t="inlineStr">
        <is>
          <t>[2026-10-26] corrige o apêndice A do plano v9</t>
        </is>
      </c>
      <c r="P14" s="51">
        <f>LEFT(A14,FIND(".",A14&amp;".")-1)</f>
        <v/>
      </c>
    </row>
    <row r="15" ht="22.35" customHeight="1" s="21">
      <c r="A15" s="51" t="inlineStr">
        <is>
          <t>410-0.5.2</t>
        </is>
      </c>
      <c r="B15" s="51" t="inlineStr">
        <is>
          <t>410-0.5</t>
        </is>
      </c>
      <c r="C15" s="51" t="inlineStr">
        <is>
          <t>Offsets e codificação</t>
        </is>
      </c>
      <c r="D15" s="51" t="inlineStr">
        <is>
          <t>níveis 0x00/0x14/0x28 (batch), pan 0x38+, roteamento in 0x5c, SW rtn 0x64, fones 0x68</t>
        </is>
      </c>
      <c r="E15" s="51" t="inlineStr">
        <is>
          <t>Sim</t>
        </is>
      </c>
      <c r="F15" s="51" t="inlineStr">
        <is>
          <t>Não</t>
        </is>
      </c>
      <c r="G15" s="51" t="inlineStr">
        <is>
          <t>Ghidra</t>
        </is>
      </c>
      <c r="H15" s="51" t="inlineStr">
        <is>
          <t>Não</t>
        </is>
      </c>
      <c r="I15" s="51" t="inlineStr">
        <is>
          <t>decomps Set*</t>
        </is>
      </c>
      <c r="J15" s="51">
        <f>IF(TRIM(I15)="",0,LEN(I15)-LEN(SUBSTITUTE(I15,";",""))+1)</f>
        <v/>
      </c>
      <c r="K15" s="51" t="inlineStr">
        <is>
          <t>Consistente</t>
        </is>
      </c>
      <c r="L15" s="51">
        <f>ROUND(IF(H15="Sim",MIN(Legenda!$C$12,MIN(10,IF(E15="Sim",Legenda!$C$4,IF(E15="Parcial",Legenda!$C$5,0))+IF(F15="Sim",Legenda!$C$6,IF(F15="Parcial",Legenda!$C$7,0))+IF(G15="otool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binário"),Legenda!$C$9,0))+MIN(Legenda!$C$11,MAX(0,J15-1)*Legenda!$C$10))),IF(H15="Parcial",MIN(Legenda!$C$13,MIN(10,IF(E15="Sim",Legenda!$C$4,IF(E15="Parcial",Legenda!$C$5,0))+IF(F15="Sim",Legenda!$C$6,IF(F15="Parcial",Legenda!$C$7,0))+IF(G15="otool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binário"),Legenda!$C$9,0))+MIN(Legenda!$C$11,MAX(0,J15-1)*Legenda!$C$10)))),1)</f>
        <v/>
      </c>
      <c r="M15" s="51" t="inlineStr">
        <is>
          <t>A1-ghidra/Q-410-0-reference-map.md §5</t>
        </is>
      </c>
      <c r="N15" s="51" t="inlineStr">
        <is>
          <t>—</t>
        </is>
      </c>
      <c r="O15" s="51" t="inlineStr">
        <is>
          <t>[2026-10-26] janela não legível do user space (0xE0008017)</t>
        </is>
      </c>
      <c r="P15" s="51">
        <f>LEFT(A15,FIND(".",A15&amp;".")-1)</f>
        <v/>
      </c>
    </row>
    <row r="16" ht="32.8" customHeight="1" s="21">
      <c r="A16" s="51" t="inlineStr">
        <is>
          <t>410-0.5.3</t>
        </is>
      </c>
      <c r="B16" s="51" t="inlineStr">
        <is>
          <t>410-0.5</t>
        </is>
      </c>
      <c r="C16" s="51" t="inlineStr">
        <is>
          <t>Quais grupos vão por AV/C</t>
        </is>
      </c>
      <c r="D16" s="51" t="inlineStr">
        <is>
          <t>aux sends, aux out, fones e monitor: caminhos AV/C genéricos (sem batch writer)</t>
        </is>
      </c>
      <c r="E16" s="51" t="inlineStr">
        <is>
          <t>Não</t>
        </is>
      </c>
      <c r="F16" s="51" t="inlineStr">
        <is>
          <t>Não</t>
        </is>
      </c>
      <c r="G16" s="51" t="inlineStr">
        <is>
          <t>Ghidra</t>
        </is>
      </c>
      <c r="H16" s="51" t="inlineStr">
        <is>
          <t>Sim</t>
        </is>
      </c>
      <c r="I16" s="51" t="inlineStr">
        <is>
          <t>InitializeUserSettableProperties (batch só em 3 grupos)</t>
        </is>
      </c>
      <c r="J16" s="51">
        <f>IF(TRIM(I16)="",0,LEN(I16)-LEN(SUBSTITUTE(I16,";",""))+1)</f>
        <v/>
      </c>
      <c r="K16" s="51" t="inlineStr">
        <is>
          <t>Aberto / não resolvido</t>
        </is>
      </c>
      <c r="L16" s="51">
        <f>ROUND(IF(H16="Sim",MIN(Legenda!$C$12,MIN(10,IF(E16="Sim",Legenda!$C$4,IF(E16="Parcial",Legenda!$C$5,0))+IF(F16="Sim",Legenda!$C$6,IF(F16="Parcial",Legenda!$C$7,0))+IF(G16="otool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binário"),Legenda!$C$9,0))+MIN(Legenda!$C$11,MAX(0,J16-1)*Legenda!$C$10))),IF(H16="Parcial",MIN(Legenda!$C$13,MIN(10,IF(E16="Sim",Legenda!$C$4,IF(E16="Parcial",Legenda!$C$5,0))+IF(F16="Sim",Legenda!$C$6,IF(F16="Parcial",Legenda!$C$7,0))+IF(G16="otool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binário"),Legenda!$C$9,0))+MIN(Legenda!$C$11,MAX(0,J16-1)*Legenda!$C$10)))),1)</f>
        <v/>
      </c>
      <c r="M16" s="51" t="inlineStr">
        <is>
          <t>A1-ghidra/Q-410-0-reference-map.md §5; A2-panel/PN410-control-key-map.md §4</t>
        </is>
      </c>
      <c r="N16" s="51" t="inlineStr">
        <is>
          <t>—</t>
        </is>
      </c>
      <c r="O16" s="51" t="inlineStr">
        <is>
          <t>[2026-10-26] hipótese; confirmar com log FCP no clone</t>
        </is>
      </c>
      <c r="P16" s="51">
        <f>LEFT(A16,FIND(".",A16&amp;".")-1)</f>
        <v/>
      </c>
    </row>
    <row r="17" ht="43.25" customHeight="1" s="21">
      <c r="A17" s="51" t="inlineStr">
        <is>
          <t>410-0.6.1</t>
        </is>
      </c>
      <c r="B17" s="51" t="inlineStr">
        <is>
          <t>410-0.6</t>
        </is>
      </c>
      <c r="C17" s="51" t="inlineStr">
        <is>
          <t>Stereo pairs (vivo)</t>
        </is>
      </c>
      <c r="D17" s="51" t="inlineStr">
        <is>
          <t>5 dispositivos CoreAudio: Analog 1/2, S/PDIF 1/2 (in+out), Analog 3/4, 5/6, 7/8 Out; UIDs m_audio_b_FWPairEngine:1..5</t>
        </is>
      </c>
      <c r="E17" s="51" t="inlineStr">
        <is>
          <t>Não</t>
        </is>
      </c>
      <c r="F17" s="51" t="inlineStr">
        <is>
          <t>Sim</t>
        </is>
      </c>
      <c r="G17" s="51" t="inlineStr">
        <is>
          <t>DTrace + slhal</t>
        </is>
      </c>
      <c r="H17" s="51" t="inlineStr">
        <is>
          <t>Não</t>
        </is>
      </c>
      <c r="I17" s="51" t="inlineStr">
        <is>
          <t>captura 103 pairs-*</t>
        </is>
      </c>
      <c r="J17" s="51">
        <f>IF(TRIM(I17)="",0,LEN(I17)-LEN(SUBSTITUTE(I17,";",""))+1)</f>
        <v/>
      </c>
      <c r="K17" s="51" t="inlineStr">
        <is>
          <t>Consistente</t>
        </is>
      </c>
      <c r="L17" s="51">
        <f>ROUND(IF(H17="Sim",MIN(Legenda!$C$12,MIN(10,IF(E17="Sim",Legenda!$C$4,IF(E17="Parcial",Legenda!$C$5,0))+IF(F17="Sim",Legenda!$C$6,IF(F17="Parcial",Legenda!$C$7,0))+IF(G17="otool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binário"),Legenda!$C$9,0))+MIN(Legenda!$C$11,MAX(0,J17-1)*Legenda!$C$10))),IF(H17="Parcial",MIN(Legenda!$C$13,MIN(10,IF(E17="Sim",Legenda!$C$4,IF(E17="Parcial",Legenda!$C$5,0))+IF(F17="Sim",Legenda!$C$6,IF(F17="Parcial",Legenda!$C$7,0))+IF(G17="otool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binário"),Legenda!$C$9,0))+MIN(Legenda!$C$11,MAX(0,J17-1)*Legenda!$C$10)))),1)</f>
        <v/>
      </c>
      <c r="M17" s="51" t="inlineStr">
        <is>
          <t>A1-ghidra/Q-410-0-reference-map.md §6, §9</t>
        </is>
      </c>
      <c r="N17" s="51" t="inlineStr">
        <is>
          <t>—</t>
        </is>
      </c>
      <c r="O17" s="51" t="inlineStr">
        <is>
          <t>[2026-10-26] base genérica já existe; sufixo do UID ≠ índice de bit (B-6)</t>
        </is>
      </c>
      <c r="P17" s="51">
        <f>LEFT(A17,FIND(".",A17&amp;".")-1)</f>
        <v/>
      </c>
    </row>
    <row r="18" ht="22.35" customHeight="1" s="21">
      <c r="A18" s="51" t="inlineStr">
        <is>
          <t>410-0.7.1</t>
        </is>
      </c>
      <c r="B18" s="51" t="inlineStr">
        <is>
          <t>410-0.7</t>
        </is>
      </c>
      <c r="C18" s="51" t="inlineStr">
        <is>
          <t>Painel: classes do 410</t>
        </is>
      </c>
      <c r="D18" s="51" t="inlineStr">
        <is>
          <t>CX410Device F410, contagens 14/14/4/2; CFW410* (204 funções)</t>
        </is>
      </c>
      <c r="E18" s="51" t="inlineStr">
        <is>
          <t>Sim</t>
        </is>
      </c>
      <c r="F18" s="51" t="inlineStr">
        <is>
          <t>Não</t>
        </is>
      </c>
      <c r="G18" s="51" t="inlineStr">
        <is>
          <t>Ghidra</t>
        </is>
      </c>
      <c r="H18" s="51" t="inlineStr">
        <is>
          <t>Não</t>
        </is>
      </c>
      <c r="I18" s="51" t="inlineStr">
        <is>
          <t>decomp cfw410-2026-10-26.txt</t>
        </is>
      </c>
      <c r="J18" s="51">
        <f>IF(TRIM(I18)="",0,LEN(I18)-LEN(SUBSTITUTE(I18,";",""))+1)</f>
        <v/>
      </c>
      <c r="K18" s="51" t="inlineStr">
        <is>
          <t>Consistente</t>
        </is>
      </c>
      <c r="L18" s="51">
        <f>ROUND(IF(H18="Sim",MIN(Legenda!$C$12,MIN(10,IF(E18="Sim",Legenda!$C$4,IF(E18="Parcial",Legenda!$C$5,0))+IF(F18="Sim",Legenda!$C$6,IF(F18="Parcial",Legenda!$C$7,0))+IF(G18="otool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binário"),Legenda!$C$9,0))+MIN(Legenda!$C$11,MAX(0,J18-1)*Legenda!$C$10))),IF(H18="Parcial",MIN(Legenda!$C$13,MIN(10,IF(E18="Sim",Legenda!$C$4,IF(E18="Parcial",Legenda!$C$5,0))+IF(F18="Sim",Legenda!$C$6,IF(F18="Parcial",Legenda!$C$7,0))+IF(G18="otool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binário"),Legenda!$C$9,0))+MIN(Legenda!$C$11,MAX(0,J18-1)*Legenda!$C$10)))),1)</f>
        <v/>
      </c>
      <c r="M18" s="51" t="inlineStr">
        <is>
          <t>A2-panel/PN410-control-key-map.md §1</t>
        </is>
      </c>
      <c r="N18" s="51" t="inlineStr">
        <is>
          <t>—</t>
        </is>
      </c>
      <c r="O18" s="51" t="inlineStr">
        <is>
          <t>[2026-10-26]</t>
        </is>
      </c>
      <c r="P18" s="51">
        <f>LEFT(A18,FIND(".",A18&amp;".")-1)</f>
        <v/>
      </c>
    </row>
    <row r="19" ht="32.8" customHeight="1" s="21">
      <c r="A19" s="51" t="inlineStr">
        <is>
          <t>410-0.7.2</t>
        </is>
      </c>
      <c r="B19" s="51" t="inlineStr">
        <is>
          <t>410-0.7</t>
        </is>
      </c>
      <c r="C19" s="51" t="inlineStr">
        <is>
          <t>Painel: controle → chave</t>
        </is>
      </c>
      <c r="D19" s="51" t="inlineStr">
        <is>
          <t>263 escritas decodificadas: roteamentos em bitmask, fones multi-seleção, MARotaryControlV2, MAClockSource coax/óptico</t>
        </is>
      </c>
      <c r="E19" s="51" t="inlineStr">
        <is>
          <t>Não</t>
        </is>
      </c>
      <c r="F19" s="51" t="inlineStr">
        <is>
          <t>Sim</t>
        </is>
      </c>
      <c r="G19" s="51" t="inlineStr">
        <is>
          <t>DTrace</t>
        </is>
      </c>
      <c r="H19" s="51" t="inlineStr">
        <is>
          <t>Não</t>
        </is>
      </c>
      <c r="I19" s="51" t="inlineStr">
        <is>
          <t>captura 103 controls/decoded.txt</t>
        </is>
      </c>
      <c r="J19" s="51">
        <f>IF(TRIM(I19)="",0,LEN(I19)-LEN(SUBSTITUTE(I19,";",""))+1)</f>
        <v/>
      </c>
      <c r="K19" s="51" t="inlineStr">
        <is>
          <t>Consistente</t>
        </is>
      </c>
      <c r="L19" s="51">
        <f>ROUND(IF(H19="Sim",MIN(Legenda!$C$12,MIN(10,IF(E19="Sim",Legenda!$C$4,IF(E19="Parcial",Legenda!$C$5,0))+IF(F19="Sim",Legenda!$C$6,IF(F19="Parcial",Legenda!$C$7,0))+IF(G19="otool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binário"),Legenda!$C$9,0))+MIN(Legenda!$C$11,MAX(0,J19-1)*Legenda!$C$10))),IF(H19="Parcial",MIN(Legenda!$C$13,MIN(10,IF(E19="Sim",Legenda!$C$4,IF(E19="Parcial",Legenda!$C$5,0))+IF(F19="Sim",Legenda!$C$6,IF(F19="Parcial",Legenda!$C$7,0))+IF(G19="otool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binário"),Legenda!$C$9,0))+MIN(Legenda!$C$11,MAX(0,J19-1)*Legenda!$C$10)))),1)</f>
        <v/>
      </c>
      <c r="M19" s="51" t="inlineStr">
        <is>
          <t>A2-panel/PN410-control-key-map.md §3</t>
        </is>
      </c>
      <c r="N19" s="51" t="inlineStr">
        <is>
          <t>—</t>
        </is>
      </c>
      <c r="O19" s="51" t="inlineStr">
        <is>
          <t>[2026-10-26] sweep v1.9/1.4</t>
        </is>
      </c>
      <c r="P19" s="51">
        <f>LEFT(A19,FIND(".",A19&amp;".")-1)</f>
        <v/>
      </c>
    </row>
    <row r="20" ht="22.35" customHeight="1" s="21">
      <c r="A20" s="51" t="inlineStr">
        <is>
          <t>410-0.7.3</t>
        </is>
      </c>
      <c r="B20" s="51" t="inlineStr">
        <is>
          <t>410-0.7</t>
        </is>
      </c>
      <c r="C20" s="51" t="inlineStr">
        <is>
          <t>Checkbox stereo pairs</t>
        </is>
      </c>
      <c r="D20" s="51" t="inlineStr">
        <is>
          <t>"show 410's stereo pairs as devices" → MAEnableStereoPairEngines 1/0</t>
        </is>
      </c>
      <c r="E20" s="51" t="inlineStr">
        <is>
          <t>Não</t>
        </is>
      </c>
      <c r="F20" s="51" t="inlineStr">
        <is>
          <t>Sim</t>
        </is>
      </c>
      <c r="G20" s="51" t="inlineStr">
        <is>
          <t>DTrace</t>
        </is>
      </c>
      <c r="H20" s="51" t="inlineStr">
        <is>
          <t>Não</t>
        </is>
      </c>
      <c r="I20" s="51" t="inlineStr">
        <is>
          <t>captura 103 pairs-setprops</t>
        </is>
      </c>
      <c r="J20" s="51">
        <f>IF(TRIM(I20)="",0,LEN(I20)-LEN(SUBSTITUTE(I20,";",""))+1)</f>
        <v/>
      </c>
      <c r="K20" s="51" t="inlineStr">
        <is>
          <t>Consistente</t>
        </is>
      </c>
      <c r="L20" s="51">
        <f>ROUND(IF(H20="Sim",MIN(Legenda!$C$12,MIN(10,IF(E20="Sim",Legenda!$C$4,IF(E20="Parcial",Legenda!$C$5,0))+IF(F20="Sim",Legenda!$C$6,IF(F20="Parcial",Legenda!$C$7,0))+IF(G20="otool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binário"),Legenda!$C$9,0))+MIN(Legenda!$C$11,MAX(0,J20-1)*Legenda!$C$10))),IF(H20="Parcial",MIN(Legenda!$C$13,MIN(10,IF(E20="Sim",Legenda!$C$4,IF(E20="Parcial",Legenda!$C$5,0))+IF(F20="Sim",Legenda!$C$6,IF(F20="Parcial",Legenda!$C$7,0))+IF(G20="otool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binário"),Legenda!$C$9,0))+MIN(Legenda!$C$11,MAX(0,J20-1)*Legenda!$C$10)))),1)</f>
        <v/>
      </c>
      <c r="M20" s="51" t="inlineStr">
        <is>
          <t>A2-panel/PN410-control-key-map.md §2-3</t>
        </is>
      </c>
      <c r="N20" s="51" t="inlineStr">
        <is>
          <t>AUD-410-02</t>
        </is>
      </c>
      <c r="O20" s="51" t="inlineStr">
        <is>
          <t>[2026-10-26] P8 chama a caixa 0x614 de "ASIO-DM"</t>
        </is>
      </c>
      <c r="P20" s="51">
        <f>LEFT(A20,FIND(".",A20&amp;".")-1)</f>
        <v/>
      </c>
    </row>
    <row r="21" ht="22.35" customHeight="1" s="21">
      <c r="A21" s="51" t="inlineStr">
        <is>
          <t>410-0.8.1</t>
        </is>
      </c>
      <c r="B21" s="51" t="inlineStr">
        <is>
          <t>410-0.8</t>
        </is>
      </c>
      <c r="C21" s="51" t="inlineStr">
        <is>
          <t>Recurso oculto: 6ª fonte de fones</t>
        </is>
      </c>
      <c r="D21" s="51" t="inlineStr">
        <is>
          <t>SetHeadphoneSource aceita bit 0x20; painel oferece 5</t>
        </is>
      </c>
      <c r="E21" s="51" t="inlineStr">
        <is>
          <t>Sim</t>
        </is>
      </c>
      <c r="F21" s="51" t="inlineStr">
        <is>
          <t>Não</t>
        </is>
      </c>
      <c r="G21" s="51" t="inlineStr">
        <is>
          <t>Ghidra</t>
        </is>
      </c>
      <c r="H21" s="51" t="inlineStr">
        <is>
          <t>Sim</t>
        </is>
      </c>
      <c r="I21" s="51" t="inlineStr">
        <is>
          <t>decomp SetHeadphoneSource</t>
        </is>
      </c>
      <c r="J21" s="51">
        <f>IF(TRIM(I21)="",0,LEN(I21)-LEN(SUBSTITUTE(I21,";",""))+1)</f>
        <v/>
      </c>
      <c r="K21" s="51" t="inlineStr">
        <is>
          <t>Aberto / não resolvido</t>
        </is>
      </c>
      <c r="L21" s="51">
        <f>ROUND(IF(H21="Sim",MIN(Legenda!$C$12,MIN(10,IF(E21="Sim",Legenda!$C$4,IF(E21="Parcial",Legenda!$C$5,0))+IF(F21="Sim",Legenda!$C$6,IF(F21="Parcial",Legenda!$C$7,0))+IF(G21="otool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binário"),Legenda!$C$9,0))+MIN(Legenda!$C$11,MAX(0,J21-1)*Legenda!$C$10))),IF(H21="Parcial",MIN(Legenda!$C$13,MIN(10,IF(E21="Sim",Legenda!$C$4,IF(E21="Parcial",Legenda!$C$5,0))+IF(F21="Sim",Legenda!$C$6,IF(F21="Parcial",Legenda!$C$7,0))+IF(G21="otool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binário"),Legenda!$C$9,0))+MIN(Legenda!$C$11,MAX(0,J21-1)*Legenda!$C$10)))),1)</f>
        <v/>
      </c>
      <c r="M21" s="51" t="inlineStr">
        <is>
          <t>A2-panel/PN410-control-key-map.md §5</t>
        </is>
      </c>
      <c r="N21" s="51" t="inlineStr">
        <is>
          <t>—</t>
        </is>
      </c>
      <c r="O21" s="51" t="inlineStr">
        <is>
          <t>[2026-10-26] testar MAHeadphoneSourceV2 = 32 no rig e ouvir</t>
        </is>
      </c>
      <c r="P21" s="51">
        <f>LEFT(A21,FIND(".",A21&amp;".")-1)</f>
        <v/>
      </c>
    </row>
    <row r="22" ht="22.35" customHeight="1" s="21">
      <c r="A22" s="51" t="inlineStr">
        <is>
          <t>410-0.8.2</t>
        </is>
      </c>
      <c r="B22" s="51" t="inlineStr">
        <is>
          <t>410-0.8</t>
        </is>
      </c>
      <c r="C22" s="51" t="inlineStr">
        <is>
          <t>Recurso oculto: SetInputLevel</t>
        </is>
      </c>
      <c r="D22" s="51" t="inlineStr">
        <is>
          <t>vt 0xbe8, registradores 0x28/0x2c, sem chamador</t>
        </is>
      </c>
      <c r="E22" s="51" t="inlineStr">
        <is>
          <t>Parcial</t>
        </is>
      </c>
      <c r="F22" s="51" t="inlineStr">
        <is>
          <t>Não</t>
        </is>
      </c>
      <c r="G22" s="51" t="inlineStr">
        <is>
          <t>otool</t>
        </is>
      </c>
      <c r="H22" s="51" t="inlineStr">
        <is>
          <t>Sim</t>
        </is>
      </c>
      <c r="I22" s="51" t="inlineStr">
        <is>
          <t>mafw.asm (sem *0xbe8)</t>
        </is>
      </c>
      <c r="J22" s="51">
        <f>IF(TRIM(I22)="",0,LEN(I22)-LEN(SUBSTITUTE(I22,";",""))+1)</f>
        <v/>
      </c>
      <c r="K22" s="51" t="inlineStr">
        <is>
          <t>Aberto / não resolvido</t>
        </is>
      </c>
      <c r="L22" s="51">
        <f>ROUND(IF(H22="Sim",MIN(Legenda!$C$12,MIN(10,IF(E22="Sim",Legenda!$C$4,IF(E22="Parcial",Legenda!$C$5,0))+IF(F22="Sim",Legenda!$C$6,IF(F22="Parcial",Legenda!$C$7,0))+IF(G22="otool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binário"),Legenda!$C$9,0))+MIN(Legenda!$C$11,MAX(0,J22-1)*Legenda!$C$10))),IF(H22="Parcial",MIN(Legenda!$C$13,MIN(10,IF(E22="Sim",Legenda!$C$4,IF(E22="Parcial",Legenda!$C$5,0))+IF(F22="Sim",Legenda!$C$6,IF(F22="Parcial",Legenda!$C$7,0))+IF(G22="otool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binário"),Legenda!$C$9,0))+MIN(Legenda!$C$11,MAX(0,J22-1)*Legenda!$C$10)))),1)</f>
        <v/>
      </c>
      <c r="M22" s="51" t="inlineStr">
        <is>
          <t>A2-panel/PN410-control-key-map.md §5</t>
        </is>
      </c>
      <c r="N22" s="51" t="inlineStr">
        <is>
          <t>—</t>
        </is>
      </c>
      <c r="O22" s="51" t="inlineStr">
        <is>
          <t>[2026-10-26] provavelmente morto</t>
        </is>
      </c>
      <c r="P22" s="51">
        <f>LEFT(A22,FIND(".",A22&amp;".")-1)</f>
        <v/>
      </c>
    </row>
    <row r="23" ht="22.35" customHeight="1" s="21">
      <c r="A23" s="51" t="inlineStr">
        <is>
          <t>410-0.9.1</t>
        </is>
      </c>
      <c r="B23" s="51" t="inlineStr">
        <is>
          <t>410-0.9</t>
        </is>
      </c>
      <c r="C23" s="51" t="inlineStr">
        <is>
          <t>MIDI e firmware</t>
        </is>
      </c>
      <c r="D23" s="51" t="inlineStr">
        <is>
          <t>plug-in original casa com com_m_audio_FW410Device; catálogo de firmware já tem 20070504102656 = unidade</t>
        </is>
      </c>
      <c r="E23" s="51" t="inlineStr">
        <is>
          <t>Sim</t>
        </is>
      </c>
      <c r="F23" s="51" t="inlineStr">
        <is>
          <t>Sim</t>
        </is>
      </c>
      <c r="G23" s="51" t="inlineStr">
        <is>
          <t>plutil + strings</t>
        </is>
      </c>
      <c r="H23" s="51" t="inlineStr">
        <is>
          <t>Não</t>
        </is>
      </c>
      <c r="I23" s="51" t="inlineStr">
        <is>
          <t>Info.plist do plug-in; FirmwareCatalog.swift:26; about.png</t>
        </is>
      </c>
      <c r="J23" s="51">
        <f>IF(TRIM(I23)="",0,LEN(I23)-LEN(SUBSTITUTE(I23,";",""))+1)</f>
        <v/>
      </c>
      <c r="K23" s="51" t="inlineStr">
        <is>
          <t>Consistente</t>
        </is>
      </c>
      <c r="L23" s="51">
        <f>ROUND(IF(H23="Sim",MIN(Legenda!$C$12,MIN(10,IF(E23="Sim",Legenda!$C$4,IF(E23="Parcial",Legenda!$C$5,0))+IF(F23="Sim",Legenda!$C$6,IF(F23="Parcial",Legenda!$C$7,0))+IF(G23="otool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binário"),Legenda!$C$9,0))+MIN(Legenda!$C$11,MAX(0,J23-1)*Legenda!$C$10))),IF(H23="Parcial",MIN(Legenda!$C$13,MIN(10,IF(E23="Sim",Legenda!$C$4,IF(E23="Parcial",Legenda!$C$5,0))+IF(F23="Sim",Legenda!$C$6,IF(F23="Parcial",Legenda!$C$7,0))+IF(G23="otool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binário"),Legenda!$C$9,0))+MIN(Legenda!$C$11,MAX(0,J23-1)*Legenda!$C$10)))),1)</f>
        <v/>
      </c>
      <c r="M23" s="51" t="inlineStr">
        <is>
          <t>PN410 §1; captura 103</t>
        </is>
      </c>
      <c r="N23" s="51" t="inlineStr">
        <is>
          <t>—</t>
        </is>
      </c>
      <c r="O23" s="51" t="inlineStr">
        <is>
          <t>[2026-10-26]</t>
        </is>
      </c>
      <c r="P23" s="51">
        <f>LEFT(A23,FIND(".",A23&amp;".")-1)</f>
        <v/>
      </c>
    </row>
    <row r="24" ht="22.35" customHeight="1" s="21"/>
    <row r="25" ht="22.35" customHeight="1" s="21"/>
    <row r="26" ht="22.35" customHeight="1" s="21"/>
    <row r="27" ht="22.35" customHeight="1" s="21"/>
    <row r="28" ht="22.35" customHeight="1" s="21"/>
    <row r="29" ht="22.35" customHeight="1" s="21"/>
    <row r="30" ht="22.35" customHeight="1" s="21"/>
    <row r="31" ht="32.8" customHeight="1" s="21"/>
    <row r="32" ht="22.35" customHeight="1" s="21"/>
    <row r="33" ht="22.35" customHeight="1" s="21"/>
    <row r="34" ht="22.35" customHeight="1" s="21"/>
    <row r="35" ht="22.35" customHeight="1" s="21"/>
    <row r="36" ht="32.8" customHeight="1" s="21"/>
    <row r="37" ht="22.35" customHeight="1" s="21"/>
    <row r="38" ht="22.35" customHeight="1" s="21"/>
    <row r="39" ht="22.35" customHeight="1" s="21"/>
    <row r="40" ht="22.35" customHeight="1" s="21"/>
    <row r="41" ht="22.35" customHeight="1" s="21"/>
    <row r="42" ht="15" customHeight="1" s="21"/>
    <row r="43" ht="22.35" customHeight="1" s="21"/>
    <row r="44" ht="22.35" customHeight="1" s="21"/>
    <row r="45" ht="32.8" customHeight="1" s="21"/>
    <row r="46" ht="22.35" customHeight="1" s="21"/>
    <row r="47" ht="15" customHeight="1" s="21"/>
    <row r="48" ht="32.8" customHeight="1" s="21"/>
    <row r="49" ht="22.35" customHeight="1" s="21"/>
    <row r="50" ht="32.8" customHeight="1" s="21"/>
    <row r="51" ht="22.35" customHeight="1" s="21"/>
    <row r="52" ht="32.8" customHeight="1" s="21"/>
    <row r="53" ht="22.35" customHeight="1" s="21"/>
    <row r="54" ht="32.8" customHeight="1" s="21"/>
    <row r="55" ht="22.35" customHeight="1" s="21"/>
    <row r="56" ht="22.35" customHeight="1" s="21"/>
    <row r="57" ht="32.8" customHeight="1" s="21"/>
    <row r="58" ht="22.35" customHeight="1" s="21"/>
    <row r="59" ht="22.35" customHeight="1" s="21"/>
    <row r="60" ht="22.35" customHeight="1" s="21"/>
    <row r="61" ht="22.35" customHeight="1" s="21"/>
    <row r="62" ht="22.35" customHeight="1" s="21"/>
    <row r="63" ht="22.35" customHeight="1" s="21"/>
    <row r="64" ht="22.35" customHeight="1" s="21"/>
    <row r="65" ht="22.35" customHeight="1" s="21"/>
    <row r="66" ht="22.35" customHeight="1" s="21"/>
    <row r="67" ht="32.8" customHeight="1" s="21"/>
    <row r="68" ht="43.25" customHeight="1" s="21"/>
    <row r="69" ht="22.35" customHeight="1" s="21"/>
    <row r="70" ht="22.35" customHeight="1" s="21"/>
    <row r="71" ht="22.35" customHeight="1" s="21"/>
    <row r="72" ht="22.35" customHeight="1" s="21"/>
    <row r="73" ht="22.35" customHeight="1" s="21"/>
    <row r="74" ht="15" customHeight="1" s="21"/>
    <row r="75" ht="32.8" customHeight="1" s="21"/>
    <row r="76" ht="22.35" customHeight="1" s="21"/>
    <row r="77" ht="22.35" customHeight="1" s="21"/>
    <row r="78" ht="22.35" customHeight="1" s="21"/>
    <row r="79" ht="22.35" customHeight="1" s="21"/>
    <row r="80" ht="15" customHeight="1" s="21"/>
    <row r="81" ht="22.35" customHeight="1" s="21"/>
    <row r="82" ht="32.8" customHeight="1" s="21"/>
    <row r="83" ht="22.35" customHeight="1" s="21"/>
    <row r="84" ht="32.8" customHeight="1" s="21"/>
    <row r="85" ht="22.35" customHeight="1" s="21"/>
    <row r="86" ht="22.35" customHeight="1" s="21"/>
    <row r="87" ht="22.35" customHeight="1" s="21"/>
    <row r="88" ht="22.35" customHeight="1" s="21"/>
    <row r="89" ht="22.35" customHeight="1" s="21"/>
    <row r="90" ht="22.35" customHeight="1" s="21"/>
    <row r="91" ht="15" customHeight="1" s="21"/>
    <row r="92" ht="15" customHeight="1" s="21"/>
    <row r="93" ht="22.35" customHeight="1" s="21"/>
    <row r="94" ht="22.35" customHeight="1" s="21"/>
    <row r="95" ht="15" customHeight="1" s="21"/>
    <row r="96" ht="22.35" customHeight="1" s="21"/>
    <row r="97" ht="22.35" customHeight="1" s="21"/>
    <row r="98" ht="22.35" customHeight="1" s="21"/>
    <row r="99" ht="15" customHeight="1" s="21"/>
    <row r="100" ht="32.8" customHeight="1" s="21"/>
    <row r="101" ht="22.35" customHeight="1" s="21"/>
    <row r="102" ht="22.35" customHeight="1" s="21"/>
    <row r="103" ht="22.35" customHeight="1" s="21"/>
    <row r="104" ht="15" customHeight="1" s="21"/>
    <row r="105" ht="22.35" customHeight="1" s="21"/>
    <row r="106" ht="22.35" customHeight="1" s="21"/>
    <row r="107" ht="22.35" customHeight="1" s="21"/>
    <row r="108" ht="22.35" customHeight="1" s="21"/>
    <row r="109" ht="22.35" customHeight="1" s="21"/>
    <row r="110" ht="22.35" customHeight="1" s="21"/>
    <row r="111" ht="15" customHeight="1" s="21"/>
    <row r="112" ht="32.8" customHeight="1" s="21"/>
    <row r="113" ht="22.35" customHeight="1" s="21"/>
    <row r="114" ht="22.35" customHeight="1" s="21"/>
    <row r="115" ht="22.35" customHeight="1" s="21"/>
    <row r="116" ht="22.35" customHeight="1" s="21"/>
    <row r="117" ht="22.35" customHeight="1" s="21"/>
    <row r="118" ht="22.35" customHeight="1" s="21"/>
    <row r="119" ht="15" customHeight="1" s="21"/>
    <row r="120" ht="22.35" customHeight="1" s="21"/>
    <row r="121" ht="22.35" customHeight="1" s="21"/>
    <row r="122" ht="15" customHeight="1" s="21"/>
    <row r="123" ht="15" customHeight="1" s="21"/>
    <row r="124" ht="22.35" customHeight="1" s="21"/>
    <row r="125" ht="22.35" customHeight="1" s="21"/>
    <row r="126" ht="22.35" customHeight="1" s="21"/>
    <row r="127" ht="22.35" customHeight="1" s="21"/>
    <row r="128" ht="22.35" customHeight="1" s="21"/>
    <row r="129" ht="22.35" customHeight="1" s="21"/>
    <row r="130" ht="22.35" customHeight="1" s="21"/>
    <row r="131" ht="22.35" customHeight="1" s="21"/>
    <row r="132" ht="22.35" customHeight="1" s="21"/>
    <row r="184" s="21"/>
    <row r="185" s="21"/>
    <row r="186" s="21"/>
    <row r="187" s="21"/>
    <row r="188" s="21"/>
    <row r="189" s="21"/>
    <row r="190" s="21"/>
    <row r="191" s="21"/>
    <row r="192" s="21"/>
    <row r="193" s="21"/>
    <row r="194" s="21"/>
    <row r="195" s="21"/>
  </sheetData>
  <autoFilter ref="A1:P60"/>
  <conditionalFormatting sqref="K2:K500">
    <cfRule type="cellIs" priority="1" operator="equal" dxfId="15">
      <formula>"Correção pendente (audit)"</formula>
    </cfRule>
    <cfRule type="cellIs" priority="2" operator="equal" dxfId="14">
      <formula>"Aberto / não resolvido"</formula>
    </cfRule>
    <cfRule type="cellIs" priority="3" operator="equal" dxfId="13">
      <formula>"Consistente"</formula>
    </cfRule>
  </conditionalFormatting>
  <conditionalFormatting sqref="H2:H500">
    <cfRule type="cellIs" priority="4" operator="equal" dxfId="15">
      <formula>"Sim"</formula>
    </cfRule>
  </conditionalFormatting>
  <conditionalFormatting sqref="L2:L500">
    <cfRule type="dataBar" priority="5">
      <dataBar>
        <cfvo type="num" val="0"/>
        <cfvo type="num" val="10"/>
        <color rgb="005B9BD5"/>
      </dataBar>
    </cfRule>
  </conditionalFormatting>
  <dataValidations count="5">
    <dataValidation sqref="E2:E500" showDropDown="0" showInputMessage="0" showErrorMessage="0" allowBlank="1" type="list">
      <formula1>"Sim,Parcial,Não"</formula1>
    </dataValidation>
    <dataValidation sqref="F2:F500" showDropDown="0" showInputMessage="0" showErrorMessage="0" allowBlank="1" type="list">
      <formula1>"Sim,Parcial,Não"</formula1>
    </dataValidation>
    <dataValidation sqref="H2:H500" showDropDown="0" showInputMessage="0" showErrorMessage="0" allowBlank="1" type="list">
      <formula1>"Sim,Parcial,Não"</formula1>
    </dataValidation>
    <dataValidation sqref="G2:G500" showDropDown="0" showInputMessage="0" showErrorMessage="0" allowBlank="1" type="list">
      <formula1>"otool + Ghidra,otool,Ghidra,Outro binário,Nenhum"</formula1>
    </dataValidation>
    <dataValidation sqref="K2:K500" showDropDown="0" showInputMessage="0" showErrorMessage="0" allowBlank="1" type="list">
      <formula1>"Consistente,Corrigido 2026-10-19,Correção pendente (audit),Aberto / não resolvido,Não auditado"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1" min="1" max="1"/>
    <col width="8" customWidth="1" style="21" min="2" max="2"/>
    <col width="60" customWidth="1" style="21" min="3" max="3"/>
    <col width="60" customWidth="1" style="21" min="4" max="4"/>
    <col width="22" customWidth="1" style="21" min="5" max="5"/>
    <col width="26" customWidth="1" style="21" min="6" max="6"/>
    <col width="20" customWidth="1" style="21" min="7" max="7"/>
    <col width="22" customWidth="1" style="21" min="8" max="8"/>
    <col width="34" customWidth="1" style="21" min="9" max="9"/>
  </cols>
  <sheetData>
    <row r="1">
      <c r="A1" s="85" t="inlineStr">
        <is>
          <t>ID</t>
        </is>
      </c>
      <c r="B1" s="85" t="inlineStr">
        <is>
          <t>Pacote</t>
        </is>
      </c>
      <c r="C1" s="85" t="inlineStr">
        <is>
          <t>Tarefa</t>
        </is>
      </c>
      <c r="D1" s="85" t="inlineStr">
        <is>
          <t>Critério de aceite (teste)</t>
        </is>
      </c>
      <c r="E1" s="85" t="inlineStr">
        <is>
          <t>Depende de</t>
        </is>
      </c>
      <c r="F1" s="85" t="inlineStr">
        <is>
          <t>Status</t>
        </is>
      </c>
      <c r="G1" s="85" t="inlineStr">
        <is>
          <t>Quem</t>
        </is>
      </c>
      <c r="H1" s="85" t="inlineStr">
        <is>
          <t>Fonte no plano</t>
        </is>
      </c>
      <c r="I1" s="85" t="inlineStr">
        <is>
          <t>Notas</t>
        </is>
      </c>
    </row>
    <row r="2">
      <c r="A2" s="51" t="inlineStr">
        <is>
          <t>DEC-1</t>
        </is>
      </c>
      <c r="B2" s="51" t="inlineStr">
        <is>
          <t>Decisão</t>
        </is>
      </c>
      <c r="C2" s="51" t="inlineStr">
        <is>
          <t>Aprovar o plano FW410 v1</t>
        </is>
      </c>
      <c r="D2" s="51" t="inlineStr">
        <is>
          <t>Resposta registrada no plano §9</t>
        </is>
      </c>
      <c r="E2" s="51" t="inlineStr">
        <is>
          <t>—</t>
        </is>
      </c>
      <c r="F2" s="51" t="inlineStr">
        <is>
          <t>Concluído</t>
        </is>
      </c>
      <c r="G2" s="51" t="inlineStr">
        <is>
          <t>Você</t>
        </is>
      </c>
      <c r="H2" s="51" t="inlineStr">
        <is>
          <t>BUILD_FW410_PLAN_v1 §9</t>
        </is>
      </c>
      <c r="I2" s="51" t="inlineStr">
        <is>
          <t>[2026-10-26] [2026-10-26 late] plano v2 aprovado (usuário)</t>
        </is>
      </c>
    </row>
    <row r="3">
      <c r="A3" s="51" t="inlineStr">
        <is>
          <t>DEC-2</t>
        </is>
      </c>
      <c r="B3" s="51" t="inlineStr">
        <is>
          <t>Decisão</t>
        </is>
      </c>
      <c r="C3" s="51" t="inlineStr">
        <is>
          <t>Versões (pacote 0.4.0 / driver 0.3.0 / painel 1.6?)</t>
        </is>
      </c>
      <c r="D3" s="51" t="inlineStr">
        <is>
          <t>Resposta registrada</t>
        </is>
      </c>
      <c r="E3" s="51" t="inlineStr">
        <is>
          <t>DEC-1</t>
        </is>
      </c>
      <c r="F3" s="51" t="inlineStr">
        <is>
          <t>Concluído</t>
        </is>
      </c>
      <c r="G3" s="51" t="inlineStr">
        <is>
          <t>Você</t>
        </is>
      </c>
      <c r="H3" s="51" t="inlineStr">
        <is>
          <t>BUILD_FW410_PLAN_v1 §5 F6</t>
        </is>
      </c>
      <c r="I3" s="51" t="inlineStr">
        <is>
          <t>[2026-10-26] [2026-10-26 late] 0.4.0 / 0.3.0 / 1.6 (usuário)</t>
        </is>
      </c>
    </row>
    <row r="4">
      <c r="A4" s="51" t="inlineStr">
        <is>
          <t>DEC-3</t>
        </is>
      </c>
      <c r="B4" s="51" t="inlineStr">
        <is>
          <t>Decisão</t>
        </is>
      </c>
      <c r="C4" s="51" t="inlineStr">
        <is>
          <t>Quais recursos ocultos expor (§6)</t>
        </is>
      </c>
      <c r="D4" s="51" t="inlineStr">
        <is>
          <t>Resposta registrada</t>
        </is>
      </c>
      <c r="E4" s="51" t="inlineStr">
        <is>
          <t>DEC-1</t>
        </is>
      </c>
      <c r="F4" s="51" t="inlineStr">
        <is>
          <t>Concluído</t>
        </is>
      </c>
      <c r="G4" s="51" t="inlineStr">
        <is>
          <t>Você</t>
        </is>
      </c>
      <c r="H4" s="51" t="inlineStr">
        <is>
          <t>BUILD_FW410_PLAN_v1 §6</t>
        </is>
      </c>
      <c r="I4" s="51" t="inlineStr">
        <is>
          <t>[2026-10-26] [2026-10-26 late] todos os recursos ocultos (usuário)</t>
        </is>
      </c>
    </row>
    <row r="5">
      <c r="A5" s="51" t="inlineStr">
        <is>
          <t>DEC-4</t>
        </is>
      </c>
      <c r="B5" s="51" t="inlineStr">
        <is>
          <t>Decisão</t>
        </is>
      </c>
      <c r="C5" s="51" t="inlineStr">
        <is>
          <t>Máquina da primeira execução (Mac dev Modern ou iMac Classic)</t>
        </is>
      </c>
      <c r="D5" s="51" t="inlineStr">
        <is>
          <t>Resposta registrada</t>
        </is>
      </c>
      <c r="E5" s="51" t="inlineStr">
        <is>
          <t>DEC-1</t>
        </is>
      </c>
      <c r="F5" s="51" t="inlineStr">
        <is>
          <t>Concluído</t>
        </is>
      </c>
      <c r="G5" s="51" t="inlineStr">
        <is>
          <t>Você</t>
        </is>
      </c>
      <c r="H5" s="51" t="inlineStr">
        <is>
          <t>BUILD_FW410_PLAN_v1 §5 F7</t>
        </is>
      </c>
      <c r="I5" s="51" t="inlineStr">
        <is>
          <t>[2026-10-26] [2026-10-26 late] Classic primeiro, iMac (usuário)</t>
        </is>
      </c>
    </row>
    <row r="6">
      <c r="A6" s="51" t="inlineStr">
        <is>
          <t>F0-1</t>
        </is>
      </c>
      <c r="B6" s="51" t="inlineStr">
        <is>
          <t>0</t>
        </is>
      </c>
      <c r="C6" s="51" t="inlineStr">
        <is>
          <t>Mapa de referência do kext (Q-410-0)</t>
        </is>
      </c>
      <c r="D6" s="51" t="inlineStr">
        <is>
          <t>R135</t>
        </is>
      </c>
      <c r="E6" s="51" t="inlineStr">
        <is>
          <t>—</t>
        </is>
      </c>
      <c r="F6" s="51" t="inlineStr">
        <is>
          <t>Concluído</t>
        </is>
      </c>
      <c r="G6" s="51" t="inlineStr">
        <is>
          <t>Claude</t>
        </is>
      </c>
      <c r="H6" s="51" t="inlineStr">
        <is>
          <t>BUILD_FW410_PLAN_v1 §1</t>
        </is>
      </c>
      <c r="I6" s="51" t="inlineStr">
        <is>
          <t>[2026-10-26]</t>
        </is>
      </c>
    </row>
    <row r="7">
      <c r="A7" s="51" t="inlineStr">
        <is>
          <t>F0-2</t>
        </is>
      </c>
      <c r="B7" s="51" t="inlineStr">
        <is>
          <t>0</t>
        </is>
      </c>
      <c r="C7" s="51" t="inlineStr">
        <is>
          <t>Capturas 102/103 no rig SL (telas, pares, controles, taxas)</t>
        </is>
      </c>
      <c r="D7" s="51" t="inlineStr">
        <is>
          <t>READMEs das capturas</t>
        </is>
      </c>
      <c r="E7" s="51" t="inlineStr">
        <is>
          <t>—</t>
        </is>
      </c>
      <c r="F7" s="51" t="inlineStr">
        <is>
          <t>Concluído</t>
        </is>
      </c>
      <c r="G7" s="51" t="inlineStr">
        <is>
          <t>Claude</t>
        </is>
      </c>
      <c r="H7" s="51" t="inlineStr">
        <is>
          <t>BUILD_FW410_PLAN_v1 §1</t>
        </is>
      </c>
      <c r="I7" s="51" t="inlineStr">
        <is>
          <t>[2026-10-26]</t>
        </is>
      </c>
    </row>
    <row r="8">
      <c r="A8" s="51" t="inlineStr">
        <is>
          <t>F0-3</t>
        </is>
      </c>
      <c r="B8" s="51" t="inlineStr">
        <is>
          <t>0</t>
        </is>
      </c>
      <c r="C8" s="51" t="inlineStr">
        <is>
          <t>Mapa painel ↔ chave (PN410)</t>
        </is>
      </c>
      <c r="D8" s="51" t="inlineStr">
        <is>
          <t>PN410-control-key-map.md</t>
        </is>
      </c>
      <c r="E8" s="51" t="inlineStr">
        <is>
          <t>—</t>
        </is>
      </c>
      <c r="F8" s="51" t="inlineStr">
        <is>
          <t>Concluído</t>
        </is>
      </c>
      <c r="G8" s="51" t="inlineStr">
        <is>
          <t>Claude</t>
        </is>
      </c>
      <c r="H8" s="51" t="inlineStr">
        <is>
          <t>BUILD_FW410_PLAN_v1 §1</t>
        </is>
      </c>
      <c r="I8" s="51" t="inlineStr">
        <is>
          <t>[2026-10-26]</t>
        </is>
      </c>
    </row>
    <row r="9">
      <c r="A9" s="51" t="inlineStr">
        <is>
          <t>B-3a</t>
        </is>
      </c>
      <c r="B9" s="51" t="inlineStr">
        <is>
          <t>0</t>
        </is>
      </c>
      <c r="C9" s="51" t="inlineStr">
        <is>
          <t>Decodificar o remap de 192 kHz (+0x18/+0x20)</t>
        </is>
      </c>
      <c r="D9" s="51" t="inlineStr">
        <is>
          <t>nota com endereços</t>
        </is>
      </c>
      <c r="E9" s="51" t="inlineStr">
        <is>
          <t>DEC-1</t>
        </is>
      </c>
      <c r="F9" s="51" t="inlineStr">
        <is>
          <t>Concluído</t>
        </is>
      </c>
      <c r="G9" s="51" t="inlineStr">
        <is>
          <t>Claude</t>
        </is>
      </c>
      <c r="H9" s="51" t="inlineStr">
        <is>
          <t>BUILD_FW410_PLAN_v1 §3</t>
        </is>
      </c>
      <c r="I9" s="51" t="inlineStr">
        <is>
          <t>[2026-10-26] [2026-10-26 late] R136</t>
        </is>
      </c>
    </row>
    <row r="10">
      <c r="A10" s="51" t="inlineStr">
        <is>
          <t>B-5</t>
        </is>
      </c>
      <c r="B10" s="51" t="inlineStr">
        <is>
          <t>0</t>
        </is>
      </c>
      <c r="C10" s="51" t="inlineStr">
        <is>
          <t>Achar o leitor de [+0x34b]</t>
        </is>
      </c>
      <c r="D10" s="51" t="inlineStr">
        <is>
          <t>nota com endereços</t>
        </is>
      </c>
      <c r="E10" s="51" t="inlineStr">
        <is>
          <t>DEC-1</t>
        </is>
      </c>
      <c r="F10" s="51" t="inlineStr">
        <is>
          <t>Concluído</t>
        </is>
      </c>
      <c r="G10" s="51" t="inlineStr">
        <is>
          <t>Claude</t>
        </is>
      </c>
      <c r="H10" s="51" t="inlineStr">
        <is>
          <t>BUILD_FW410_PLAN_v1 §3</t>
        </is>
      </c>
      <c r="I10" s="51" t="inlineStr">
        <is>
          <t>[2026-10-26] [2026-10-26 late] sem leitor (R136)</t>
        </is>
      </c>
    </row>
    <row r="11">
      <c r="A11" s="51" t="inlineStr">
        <is>
          <t>B-1</t>
        </is>
      </c>
      <c r="B11" s="51" t="inlineStr">
        <is>
          <t>1</t>
        </is>
      </c>
      <c r="C11" s="51" t="inlineStr">
        <is>
          <t>LLRR10WithMIDI + SamplePeaks10 na base</t>
        </is>
      </c>
      <c r="D11" s="51" t="inlineStr">
        <is>
          <t>teste de host</t>
        </is>
      </c>
      <c r="E11" s="51" t="inlineStr">
        <is>
          <t>DEC-1</t>
        </is>
      </c>
      <c r="F11" s="51" t="inlineStr">
        <is>
          <t>Concluído</t>
        </is>
      </c>
      <c r="G11" s="51" t="inlineStr">
        <is>
          <t>Claude</t>
        </is>
      </c>
      <c r="H11" s="51" t="inlineStr">
        <is>
          <t>BUILD_FW410_PLAN_v1 §3</t>
        </is>
      </c>
      <c r="I11" s="51" t="inlineStr">
        <is>
          <t>[2026-10-26] [2026-10-26 late] host test fw410; captura 106</t>
        </is>
      </c>
    </row>
    <row r="12">
      <c r="A12" s="51" t="inlineStr">
        <is>
          <t>B-2</t>
        </is>
      </c>
      <c r="B12" s="51" t="inlineStr">
        <is>
          <t>1</t>
        </is>
      </c>
      <c r="C12" s="51" t="inlineStr">
        <is>
          <t>Flag de UID legado [+0x34a]</t>
        </is>
      </c>
      <c r="D12" s="51" t="inlineStr">
        <is>
          <t>UID com_m_audio_FWEngine1:&lt;GUID&gt;</t>
        </is>
      </c>
      <c r="E12" s="51" t="inlineStr">
        <is>
          <t>DEC-1</t>
        </is>
      </c>
      <c r="F12" s="51" t="inlineStr">
        <is>
          <t>Concluído</t>
        </is>
      </c>
      <c r="G12" s="51" t="inlineStr">
        <is>
          <t>Claude</t>
        </is>
      </c>
      <c r="H12" s="51" t="inlineStr">
        <is>
          <t>BUILD_FW410_PLAN_v1 §3</t>
        </is>
      </c>
      <c r="I12" s="51" t="inlineStr">
        <is>
          <t>[2026-10-26] [2026-10-26 late] UID com_m_audio_FWEngine1 ao vivo (captura 106)</t>
        </is>
      </c>
    </row>
    <row r="13">
      <c r="A13" s="51" t="inlineStr">
        <is>
          <t>B-3</t>
        </is>
      </c>
      <c r="B13" s="51" t="inlineStr">
        <is>
          <t>1</t>
        </is>
      </c>
      <c r="C13" s="51" t="inlineStr">
        <is>
          <t>Remap de 192 kHz na base</t>
        </is>
      </c>
      <c r="D13" s="51" t="inlineStr">
        <is>
          <t>teste de host; 1814/AP inalterados</t>
        </is>
      </c>
      <c r="E13" s="51" t="inlineStr">
        <is>
          <t>B-3a</t>
        </is>
      </c>
      <c r="F13" s="51" t="inlineStr">
        <is>
          <t>Concluído</t>
        </is>
      </c>
      <c r="G13" s="51" t="inlineStr">
        <is>
          <t>Claude</t>
        </is>
      </c>
      <c r="H13" s="51" t="inlineStr">
        <is>
          <t>BUILD_FW410_PLAN_v1 §3</t>
        </is>
      </c>
      <c r="I13" s="51" t="inlineStr">
        <is>
          <t>[2026-10-26] [2026-10-26 late] 192 kHz: 8 saídas e entrada 1 (captura 106)</t>
        </is>
      </c>
    </row>
    <row r="14">
      <c r="A14" s="51" t="inlineStr">
        <is>
          <t>B-4</t>
        </is>
      </c>
      <c r="B14" s="51" t="inlineStr">
        <is>
          <t>1</t>
        </is>
      </c>
      <c r="C14" s="51" t="inlineStr">
        <is>
          <t>Ganchos de roteamento SW rtn em FWSettingsLevels</t>
        </is>
      </c>
      <c r="D14" s="51" t="inlineStr">
        <is>
          <t>conformidade 1814/AP</t>
        </is>
      </c>
      <c r="E14" s="51" t="inlineStr">
        <is>
          <t>DEC-1</t>
        </is>
      </c>
      <c r="F14" s="51" t="inlineStr">
        <is>
          <t>Concluído</t>
        </is>
      </c>
      <c r="G14" s="51" t="inlineStr">
        <is>
          <t>Claude</t>
        </is>
      </c>
      <c r="H14" s="51" t="inlineStr">
        <is>
          <t>BUILD_FW410_PLAN_v1 §3</t>
        </is>
      </c>
      <c r="I14" s="51" t="inlineStr">
        <is>
          <t>[2026-10-26] [2026-10-26 late] roteamento SW por registrador (captura 106)</t>
        </is>
      </c>
    </row>
    <row r="15">
      <c r="A15" s="51" t="inlineStr">
        <is>
          <t>B-6</t>
        </is>
      </c>
      <c r="B15" s="51" t="inlineStr">
        <is>
          <t>1</t>
        </is>
      </c>
      <c r="C15" s="51" t="inlineStr">
        <is>
          <t>Sufixo do UID dos pair engines 1..n</t>
        </is>
      </c>
      <c r="D15" s="51" t="inlineStr">
        <is>
          <t>registry</t>
        </is>
      </c>
      <c r="E15" s="51" t="inlineStr">
        <is>
          <t>DEC-1</t>
        </is>
      </c>
      <c r="F15" s="51" t="inlineStr">
        <is>
          <t>Concluído</t>
        </is>
      </c>
      <c r="G15" s="51" t="inlineStr">
        <is>
          <t>Claude</t>
        </is>
      </c>
      <c r="H15" s="51" t="inlineStr">
        <is>
          <t>BUILD_FW410_PLAN_v1 §3</t>
        </is>
      </c>
      <c r="I15" s="51" t="inlineStr">
        <is>
          <t>[2026-10-26] [2026-10-26 late] m_audio_b_FWPairEngine:1..5 (captura 106)</t>
        </is>
      </c>
    </row>
    <row r="16">
      <c r="A16" s="51" t="inlineStr">
        <is>
          <t>M-1</t>
        </is>
      </c>
      <c r="B16" s="51" t="inlineStr">
        <is>
          <t>2</t>
        </is>
      </c>
      <c r="C16" s="51" t="inlineStr">
        <is>
          <t>Classe, alias, nomes, personalidade</t>
        </is>
      </c>
      <c r="D16" s="51" t="inlineStr">
        <is>
          <t>kextutil -t -n</t>
        </is>
      </c>
      <c r="E16" s="51" t="inlineStr">
        <is>
          <t>B-1</t>
        </is>
      </c>
      <c r="F16" s="51" t="inlineStr">
        <is>
          <t>Concluído</t>
        </is>
      </c>
      <c r="G16" s="51" t="inlineStr">
        <is>
          <t>Claude</t>
        </is>
      </c>
      <c r="H16" s="51" t="inlineStr">
        <is>
          <t>BUILD_FW410_PLAN_v1 §4</t>
        </is>
      </c>
      <c r="I16" s="51" t="inlineStr">
        <is>
          <t>[2026-10-26] [2026-10-26 late] attach no iMac</t>
        </is>
      </c>
    </row>
    <row r="17">
      <c r="A17" s="51" t="inlineStr">
        <is>
          <t>M-2</t>
        </is>
      </c>
      <c r="B17" s="51" t="inlineStr">
        <is>
          <t>2</t>
        </is>
      </c>
      <c r="C17" s="51" t="inlineStr">
        <is>
          <t>Tabelas (canais, taxas, latência, pacote)</t>
        </is>
      </c>
      <c r="D17" s="51" t="inlineStr">
        <is>
          <t>teste de host</t>
        </is>
      </c>
      <c r="E17" s="51" t="inlineStr">
        <is>
          <t>M-1</t>
        </is>
      </c>
      <c r="F17" s="51" t="inlineStr">
        <is>
          <t>Concluído</t>
        </is>
      </c>
      <c r="G17" s="51" t="inlineStr">
        <is>
          <t>Claude</t>
        </is>
      </c>
      <c r="H17" s="51" t="inlineStr">
        <is>
          <t>BUILD_FW410_PLAN_v1 §4</t>
        </is>
      </c>
      <c r="I17" s="51" t="inlineStr">
        <is>
          <t>[2026-10-26] [2026-10-26 late] conformidade</t>
        </is>
      </c>
    </row>
    <row r="18">
      <c r="A18" s="51" t="inlineStr">
        <is>
          <t>M-3</t>
        </is>
      </c>
      <c r="B18" s="51" t="inlineStr">
        <is>
          <t>2</t>
        </is>
      </c>
      <c r="C18" s="51" t="inlineStr">
        <is>
          <t>SetupAudioEngine</t>
        </is>
      </c>
      <c r="D18" s="51" t="inlineStr">
        <is>
          <t>build</t>
        </is>
      </c>
      <c r="E18" s="51" t="inlineStr">
        <is>
          <t>M-2</t>
        </is>
      </c>
      <c r="F18" s="51" t="inlineStr">
        <is>
          <t>Concluído</t>
        </is>
      </c>
      <c r="G18" s="51" t="inlineStr">
        <is>
          <t>Claude</t>
        </is>
      </c>
      <c r="H18" s="51" t="inlineStr">
        <is>
          <t>BUILD_FW410_PLAN_v1 §4</t>
        </is>
      </c>
      <c r="I18" s="51" t="inlineStr">
        <is>
          <t>[2026-10-26] [2026-10-26 late] saídas 1-10</t>
        </is>
      </c>
    </row>
    <row r="19">
      <c r="A19" s="51" t="inlineStr">
        <is>
          <t>M-4</t>
        </is>
      </c>
      <c r="B19" s="51" t="inlineStr">
        <is>
          <t>2</t>
        </is>
      </c>
      <c r="C19" s="51" t="inlineStr">
        <is>
          <t>SetClockSourceInternal</t>
        </is>
      </c>
      <c r="D19" s="51" t="inlineStr">
        <is>
          <t>teste de host</t>
        </is>
      </c>
      <c r="E19" s="51" t="inlineStr">
        <is>
          <t>M-1</t>
        </is>
      </c>
      <c r="F19" s="51" t="inlineStr">
        <is>
          <t>Em andamento</t>
        </is>
      </c>
      <c r="G19" s="51" t="inlineStr">
        <is>
          <t>Claude</t>
        </is>
      </c>
      <c r="H19" s="51" t="inlineStr">
        <is>
          <t>BUILD_FW410_PLAN_v1 §4</t>
        </is>
      </c>
      <c r="I19" s="51" t="inlineStr">
        <is>
          <t>[2026-10-26] [2026-10-26 late] interno ok; S/PDIF externo / óptico não testados</t>
        </is>
      </c>
    </row>
    <row r="20">
      <c r="A20" s="51" t="inlineStr">
        <is>
          <t>M-5</t>
        </is>
      </c>
      <c r="B20" s="51" t="inlineStr">
        <is>
          <t>2</t>
        </is>
      </c>
      <c r="C20" s="51" t="inlineStr">
        <is>
          <t>ReadHSCIData</t>
        </is>
      </c>
      <c r="D20" s="51" t="inlineStr">
        <is>
          <t>teste de host</t>
        </is>
      </c>
      <c r="E20" s="51" t="inlineStr">
        <is>
          <t>M-2</t>
        </is>
      </c>
      <c r="F20" s="51" t="inlineStr">
        <is>
          <t>Concluído</t>
        </is>
      </c>
      <c r="G20" s="51" t="inlineStr">
        <is>
          <t>Claude</t>
        </is>
      </c>
      <c r="H20" s="51" t="inlineStr">
        <is>
          <t>BUILD_FW410_PLAN_v1 §4</t>
        </is>
      </c>
      <c r="I20" s="51" t="inlineStr">
        <is>
          <t>[2026-10-26] [2026-10-26 late] encoder ok (usuário)</t>
        </is>
      </c>
    </row>
    <row r="21">
      <c r="A21" s="51" t="inlineStr">
        <is>
          <t>M-6</t>
        </is>
      </c>
      <c r="B21" s="51" t="inlineStr">
        <is>
          <t>2</t>
        </is>
      </c>
      <c r="C21" s="51" t="inlineStr">
        <is>
          <t>MapChannelAndFunctionBlock + MapRoutingParameters</t>
        </is>
      </c>
      <c r="D21" s="51" t="inlineStr">
        <is>
          <t>teste de host</t>
        </is>
      </c>
      <c r="E21" s="51" t="inlineStr">
        <is>
          <t>M-1</t>
        </is>
      </c>
      <c r="F21" s="51" t="inlineStr">
        <is>
          <t>Concluído</t>
        </is>
      </c>
      <c r="G21" s="51" t="inlineStr">
        <is>
          <t>Claude</t>
        </is>
      </c>
      <c r="H21" s="51" t="inlineStr">
        <is>
          <t>BUILD_FW410_PLAN_v1 §4</t>
        </is>
      </c>
      <c r="I21" s="51" t="inlineStr">
        <is>
          <t>[2026-10-26] [2026-10-26 late] aux sends AV/C ok</t>
        </is>
      </c>
    </row>
    <row r="22">
      <c r="A22" s="51" t="inlineStr">
        <is>
          <t>M-7</t>
        </is>
      </c>
      <c r="B22" s="51" t="inlineStr">
        <is>
          <t>2</t>
        </is>
      </c>
      <c r="C22" s="51" t="inlineStr">
        <is>
          <t>Escritores de registrador + FWSettings410Levels</t>
        </is>
      </c>
      <c r="D22" s="51" t="inlineStr">
        <is>
          <t>teste de host</t>
        </is>
      </c>
      <c r="E22" s="51" t="inlineStr">
        <is>
          <t>B-4</t>
        </is>
      </c>
      <c r="F22" s="51" t="inlineStr">
        <is>
          <t>Concluído</t>
        </is>
      </c>
      <c r="G22" s="51" t="inlineStr">
        <is>
          <t>Claude</t>
        </is>
      </c>
      <c r="H22" s="51" t="inlineStr">
        <is>
          <t>BUILD_FW410_PLAN_v1 §4</t>
        </is>
      </c>
      <c r="I22" s="51" t="inlineStr">
        <is>
          <t>[2026-10-26] [2026-10-26 late] fones bit 5 = aux; desvio R138</t>
        </is>
      </c>
    </row>
    <row r="23">
      <c r="A23" s="51" t="inlineStr">
        <is>
          <t>M-8</t>
        </is>
      </c>
      <c r="B23" s="51" t="inlineStr">
        <is>
          <t>2</t>
        </is>
      </c>
      <c r="C23" s="51" t="inlineStr">
        <is>
          <t>Init / Resend / Reset</t>
        </is>
      </c>
      <c r="D23" s="51" t="inlineStr">
        <is>
          <t>build + conformidade</t>
        </is>
      </c>
      <c r="E23" s="51" t="inlineStr">
        <is>
          <t>M-7</t>
        </is>
      </c>
      <c r="F23" s="51" t="inlineStr">
        <is>
          <t>Concluído</t>
        </is>
      </c>
      <c r="G23" s="51" t="inlineStr">
        <is>
          <t>Claude</t>
        </is>
      </c>
      <c r="H23" s="51" t="inlineStr">
        <is>
          <t>BUILD_FW410_PLAN_v1 §4</t>
        </is>
      </c>
      <c r="I23" s="51" t="inlineStr">
        <is>
          <t>[2026-10-26] [2026-10-26 late] pacote: helper limita fones, sobe sozinho</t>
        </is>
      </c>
    </row>
    <row r="24">
      <c r="A24" s="51" t="inlineStr">
        <is>
          <t>M-9</t>
        </is>
      </c>
      <c r="B24" s="51" t="inlineStr">
        <is>
          <t>2</t>
        </is>
      </c>
      <c r="C24" s="51" t="inlineStr">
        <is>
          <t>Testes de host + conformidade</t>
        </is>
      </c>
      <c r="D24" s="51" t="inlineStr">
        <is>
          <t>scripts verdes</t>
        </is>
      </c>
      <c r="E24" s="51" t="inlineStr">
        <is>
          <t>M-8</t>
        </is>
      </c>
      <c r="F24" s="51" t="inlineStr">
        <is>
          <t>Concluído</t>
        </is>
      </c>
      <c r="G24" s="51" t="inlineStr">
        <is>
          <t>Claude</t>
        </is>
      </c>
      <c r="H24" s="51" t="inlineStr">
        <is>
          <t>BUILD_FW410_PLAN_v1 §4</t>
        </is>
      </c>
      <c r="I24" s="51" t="inlineStr">
        <is>
          <t>[2026-10-26] [2026-10-26 late] 18 checks + conformidade</t>
        </is>
      </c>
    </row>
    <row r="25">
      <c r="A25" s="51" t="inlineStr">
        <is>
          <t>F3</t>
        </is>
      </c>
      <c r="B25" s="51" t="inlineStr">
        <is>
          <t>3</t>
        </is>
      </c>
      <c r="C25" s="51" t="inlineStr">
        <is>
          <t>Helper: persistência das chaves do 410</t>
        </is>
      </c>
      <c r="D25" s="51" t="inlineStr">
        <is>
          <t>revisão</t>
        </is>
      </c>
      <c r="E25" s="51" t="inlineStr">
        <is>
          <t>M-8</t>
        </is>
      </c>
      <c r="F25" s="51" t="inlineStr">
        <is>
          <t>Concluído</t>
        </is>
      </c>
      <c r="G25" s="51" t="inlineStr">
        <is>
          <t>Claude</t>
        </is>
      </c>
      <c r="H25" s="51" t="inlineStr">
        <is>
          <t>BUILD_FW410_PLAN_v1 §5</t>
        </is>
      </c>
      <c r="I25" s="51" t="inlineStr">
        <is>
          <t>[2026-10-26] [2026-10-26 late] helper genérico; log ok</t>
        </is>
      </c>
    </row>
    <row r="26">
      <c r="A26" s="51" t="inlineStr">
        <is>
          <t>F4.1</t>
        </is>
      </c>
      <c r="B26" s="51" t="inlineStr">
        <is>
          <t>4</t>
        </is>
      </c>
      <c r="C26" s="51" t="inlineStr">
        <is>
          <t>Painel próprio do 410 (Models/FW410)</t>
        </is>
      </c>
      <c r="D26" s="51" t="inlineStr">
        <is>
          <t>snapshots --demo</t>
        </is>
      </c>
      <c r="E26" s="51" t="inlineStr">
        <is>
          <t>M-9</t>
        </is>
      </c>
      <c r="F26" s="51" t="inlineStr">
        <is>
          <t>Concluído</t>
        </is>
      </c>
      <c r="G26" s="51" t="inlineStr">
        <is>
          <t>Claude</t>
        </is>
      </c>
      <c r="H26" s="51" t="inlineStr">
        <is>
          <t>BUILD_FW410_PLAN_v1 §5</t>
        </is>
      </c>
      <c r="I26" s="51" t="inlineStr">
        <is>
          <t>[2026-10-26] [2026-10-26 late] painel 1.6 no iMac</t>
        </is>
      </c>
    </row>
    <row r="27">
      <c r="A27" s="51" t="inlineStr">
        <is>
          <t>F4.2</t>
        </is>
      </c>
      <c r="B27" s="51" t="inlineStr">
        <is>
          <t>4</t>
        </is>
      </c>
      <c r="C27" s="51" t="inlineStr">
        <is>
          <t>Checkbox stereo pairs (genérico)</t>
        </is>
      </c>
      <c r="D27" s="51" t="inlineStr">
        <is>
          <t>snapshots</t>
        </is>
      </c>
      <c r="E27" s="51" t="inlineStr">
        <is>
          <t>DEC-1</t>
        </is>
      </c>
      <c r="F27" s="51" t="inlineStr">
        <is>
          <t>Concluído</t>
        </is>
      </c>
      <c r="G27" s="51" t="inlineStr">
        <is>
          <t>Claude</t>
        </is>
      </c>
      <c r="H27" s="51" t="inlineStr">
        <is>
          <t>BUILD_FW410_PLAN_v1 §5</t>
        </is>
      </c>
      <c r="I27" s="51" t="inlineStr">
        <is>
          <t>[2026-10-26] [2026-10-26 late] pares ok no 410; 1814 o usuário testa</t>
        </is>
      </c>
    </row>
    <row r="28">
      <c r="A28" s="51" t="inlineStr">
        <is>
          <t>F4.3</t>
        </is>
      </c>
      <c r="B28" s="51" t="inlineStr">
        <is>
          <t>4</t>
        </is>
      </c>
      <c r="C28" s="51" t="inlineStr">
        <is>
          <t>Fonte de fones multi-seleção (genérico)</t>
        </is>
      </c>
      <c r="D28" s="51" t="inlineStr">
        <is>
          <t>snapshots</t>
        </is>
      </c>
      <c r="E28" s="51" t="inlineStr">
        <is>
          <t>DEC-1</t>
        </is>
      </c>
      <c r="F28" s="51" t="inlineStr">
        <is>
          <t>Concluído</t>
        </is>
      </c>
      <c r="G28" s="51" t="inlineStr">
        <is>
          <t>Claude</t>
        </is>
      </c>
      <c r="H28" s="51" t="inlineStr">
        <is>
          <t>BUILD_FW410_PLAN_v1 §5</t>
        </is>
      </c>
      <c r="I28" s="51" t="inlineStr">
        <is>
          <t>[2026-10-26] [2026-10-26 late] multi-seleção</t>
        </is>
      </c>
    </row>
    <row r="29">
      <c r="A29" s="51" t="inlineStr">
        <is>
          <t>F4.4</t>
        </is>
      </c>
      <c r="B29" s="51" t="inlineStr">
        <is>
          <t>4</t>
        </is>
      </c>
      <c r="C29" s="51" t="inlineStr">
        <is>
          <t>Vista 176.4/192 kHz</t>
        </is>
      </c>
      <c r="D29" s="51" t="inlineStr">
        <is>
          <t>snapshots</t>
        </is>
      </c>
      <c r="E29" s="51" t="inlineStr">
        <is>
          <t>F4.1</t>
        </is>
      </c>
      <c r="F29" s="51" t="inlineStr">
        <is>
          <t>Concluído</t>
        </is>
      </c>
      <c r="G29" s="51" t="inlineStr">
        <is>
          <t>Claude</t>
        </is>
      </c>
      <c r="H29" s="51" t="inlineStr">
        <is>
          <t>BUILD_FW410_PLAN_v1 §5</t>
        </is>
      </c>
      <c r="I29" s="51" t="inlineStr">
        <is>
          <t>[2026-10-26] [2026-10-26 late] cinza a 176/192</t>
        </is>
      </c>
    </row>
    <row r="30">
      <c r="A30" s="51" t="inlineStr">
        <is>
          <t>F5</t>
        </is>
      </c>
      <c r="B30" s="51" t="inlineStr">
        <is>
          <t>5</t>
        </is>
      </c>
      <c r="C30" s="51" t="inlineStr">
        <is>
          <t>MIDI com o plug-in original</t>
        </is>
      </c>
      <c r="D30" s="51" t="inlineStr">
        <is>
          <t>nomes das portas</t>
        </is>
      </c>
      <c r="E30" s="51" t="inlineStr">
        <is>
          <t>M-9</t>
        </is>
      </c>
      <c r="F30" s="51" t="inlineStr">
        <is>
          <t>Não iniciado</t>
        </is>
      </c>
      <c r="G30" s="51" t="inlineStr">
        <is>
          <t>Claude</t>
        </is>
      </c>
      <c r="H30" s="51" t="inlineStr">
        <is>
          <t>BUILD_FW410_PLAN_v1 §5</t>
        </is>
      </c>
      <c r="I30" s="51" t="inlineStr">
        <is>
          <t>[2026-10-26] [2026-10-26 late] MIDI não testado</t>
        </is>
      </c>
    </row>
    <row r="31">
      <c r="A31" s="51" t="inlineStr">
        <is>
          <t>F6</t>
        </is>
      </c>
      <c r="B31" s="51" t="inlineStr">
        <is>
          <t>6</t>
        </is>
      </c>
      <c r="C31" s="51" t="inlineStr">
        <is>
          <t>Instalador, README/NOTICE, CHANGELOG, versões</t>
        </is>
      </c>
      <c r="D31" s="51" t="inlineStr">
        <is>
          <t>pkg + guarda self-contained</t>
        </is>
      </c>
      <c r="E31" s="51" t="inlineStr">
        <is>
          <t>DEC-2</t>
        </is>
      </c>
      <c r="F31" s="51" t="inlineStr">
        <is>
          <t>Em andamento</t>
        </is>
      </c>
      <c r="G31" s="51" t="inlineStr">
        <is>
          <t>Claude</t>
        </is>
      </c>
      <c r="H31" s="51" t="inlineStr">
        <is>
          <t>BUILD_FW410_PLAN_v1 §5</t>
        </is>
      </c>
      <c r="I31" s="51" t="inlineStr">
        <is>
          <t>[2026-10-26] [2026-10-26 late] pkg Classic instalado; Modern, README, release pendentes</t>
        </is>
      </c>
    </row>
    <row r="32">
      <c r="A32" s="51" t="inlineStr">
        <is>
          <t>F7</t>
        </is>
      </c>
      <c r="B32" s="51" t="inlineStr">
        <is>
          <t>7</t>
        </is>
      </c>
      <c r="C32" s="51" t="inlineStr">
        <is>
          <t>Primeira execução integrada com o 410</t>
        </is>
      </c>
      <c r="D32" s="51" t="inlineStr">
        <is>
          <t>lista do plano §5 F7</t>
        </is>
      </c>
      <c r="E32" s="51" t="inlineStr">
        <is>
          <t>DEC-4</t>
        </is>
      </c>
      <c r="F32" s="51" t="inlineStr">
        <is>
          <t>Em andamento</t>
        </is>
      </c>
      <c r="G32" s="51" t="inlineStr">
        <is>
          <t>Você + Claude</t>
        </is>
      </c>
      <c r="H32" s="51" t="inlineStr">
        <is>
          <t>BUILD_FW410_PLAN_v1 §5</t>
        </is>
      </c>
      <c r="I32" s="51" t="inlineStr">
        <is>
          <t>[2026-10-26] [2026-10-26 late] captura 106; falta MIDI, S/PDIF, sleep/wake</t>
        </is>
      </c>
    </row>
    <row r="42" s="21"/>
    <row r="43" s="21"/>
    <row r="44" s="21"/>
    <row r="45" s="21"/>
    <row r="46" s="21"/>
    <row r="48" s="21"/>
    <row r="49" s="21"/>
    <row r="50" s="21"/>
    <row r="51" s="21"/>
    <row r="52" s="21"/>
    <row r="53" s="21"/>
    <row r="54" s="21"/>
    <row r="55" s="21"/>
    <row r="66" s="21"/>
    <row r="67" s="21"/>
  </sheetData>
  <autoFilter ref="A1:I55"/>
  <conditionalFormatting sqref="F2:F500">
    <cfRule type="cellIs" priority="1" operator="equal" dxfId="13">
      <formula>"Concluído"</formula>
    </cfRule>
    <cfRule type="cellIs" priority="2" operator="equal" dxfId="14">
      <formula>"Em andamento"</formula>
    </cfRule>
    <cfRule type="cellIs" priority="3" operator="equal" dxfId="15">
      <formula>"Aguarda o usuário"</formula>
    </cfRule>
  </conditionalFormatting>
  <dataValidations count="1">
    <dataValidation sqref="F2:F500" showDropDown="0" showInputMessage="0" showErrorMessage="0" allowBlank="1" type="list">
      <formula1>"Não iniciado,Autorizado (pré-trabalho),Em andamento,Concluído,Aguarda aprovação do plano,Cancelado (corte de escopo),Aguarda o usuário,Sob demanda (uso real)"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30" customWidth="1" style="51" min="2" max="2"/>
    <col width="14" customWidth="1" style="51" min="3" max="3"/>
    <col width="55" customWidth="1" style="51" min="4" max="4"/>
    <col width="9" customWidth="1" style="51" min="5" max="5"/>
    <col width="10" customWidth="1" style="51" min="6" max="6"/>
    <col width="55" customWidth="1" style="51" min="7" max="7"/>
    <col width="14" customWidth="1" style="51" min="8" max="8"/>
    <col width="26" customWidth="1" style="21" min="9" max="9"/>
    <col width="60" customWidth="1" style="21" min="10" max="10"/>
    <col width="9" customWidth="1" style="21" min="11" max="11"/>
  </cols>
  <sheetData>
    <row r="1" ht="23.85" customHeight="1" s="21">
      <c r="A1" s="85" t="inlineStr">
        <is>
          <t>ID flag</t>
        </is>
      </c>
      <c r="B1" s="85" t="inlineStr">
        <is>
          <t>Arquivo / grupo</t>
        </is>
      </c>
      <c r="C1" s="85" t="inlineStr">
        <is>
          <t>Linha(s)</t>
        </is>
      </c>
      <c r="D1" s="85" t="inlineStr">
        <is>
          <t>Afirmação citada</t>
        </is>
      </c>
      <c r="E1" s="85" t="inlineStr">
        <is>
          <t>Categoria</t>
        </is>
      </c>
      <c r="F1" s="85" t="inlineStr">
        <is>
          <t>Severidade</t>
        </is>
      </c>
      <c r="G1" s="85" t="inlineStr">
        <is>
          <t>Como verificar / o que o binário diz</t>
        </is>
      </c>
      <c r="H1" s="85" t="inlineStr">
        <is>
          <t>Status</t>
        </is>
      </c>
      <c r="I1" s="85" t="inlineStr">
        <is>
          <t>Resolução (2026-10-14)</t>
        </is>
      </c>
      <c r="J1" s="85" t="inlineStr">
        <is>
          <t>Evidência / próximo passo</t>
        </is>
      </c>
      <c r="K1" s="85" t="inlineStr">
        <is>
          <t>Parte</t>
        </is>
      </c>
    </row>
    <row r="2" ht="22.35" customHeight="1" s="21">
      <c r="A2" s="51" t="inlineStr">
        <is>
          <t>AUD-410-01</t>
        </is>
      </c>
      <c r="B2" s="51" t="inlineStr">
        <is>
          <t>docs/BUILD_AUDIOPHILE_PLAN_v9.md</t>
        </is>
      </c>
      <c r="C2" s="51" t="inlineStr">
        <is>
          <t>Apêndice A linha 0</t>
        </is>
      </c>
      <c r="D2" s="51" t="inlineStr">
        <is>
          <t>"FW 410 … AV/C FB ('normal')"</t>
        </is>
      </c>
      <c r="E2" s="51" t="inlineStr">
        <is>
          <t>4</t>
        </is>
      </c>
      <c r="F2" s="51" t="inlineStr">
        <is>
          <t>alta</t>
        </is>
      </c>
      <c r="G2" s="51" t="inlineStr">
        <is>
          <t>vtable do 410 slot 0xba8 = CustomMixerWriteQuads; todos os setters de mixer escrevem registradores</t>
        </is>
      </c>
      <c r="H2" s="51" t="inlineStr">
        <is>
          <t>Resolvido</t>
        </is>
      </c>
      <c r="I2" s="51" t="inlineStr">
        <is>
          <t>Correction 2026-10-26 no plano v9</t>
        </is>
      </c>
      <c r="J2" s="51" t="inlineStr">
        <is>
          <t>R135; Q-410-0 §5</t>
        </is>
      </c>
      <c r="K2" s="51" t="inlineStr">
        <is>
          <t>410-0.5</t>
        </is>
      </c>
    </row>
    <row r="3" ht="32.8" customHeight="1" s="21">
      <c r="A3" s="51" t="inlineStr">
        <is>
          <t>AUD-410-02</t>
        </is>
      </c>
      <c r="B3" s="51" t="inlineStr">
        <is>
          <t>docs/system-map/A2-panel/P8-rate-and-buffer.md</t>
        </is>
      </c>
      <c r="C3" s="51" t="inlineStr">
        <is>
          <t>36, 56, 67</t>
        </is>
      </c>
      <c r="D3" s="51" t="inlineStr">
        <is>
          <t>cookie 0x614 = "ASIO-DM checkbox"</t>
        </is>
      </c>
      <c r="E3" s="51" t="inlineStr">
        <is>
          <t>1</t>
        </is>
      </c>
      <c r="F3" s="51" t="inlineStr">
        <is>
          <t>média</t>
        </is>
      </c>
      <c r="G3" s="51" t="inlineStr">
        <is>
          <t>No 410 a caixa é "show 410's stereo pairs as devices" (captura 103) e LoadAsioDmEnableControl é vazio; no painel do 1814 o rótulo não foi visto</t>
        </is>
      </c>
      <c r="H3" s="51" t="inlineStr">
        <is>
          <t>Rotulado</t>
        </is>
      </c>
      <c r="I3" s="51" t="inlineStr">
        <is>
          <t>Correction 2026-10-26 no P8 (rótulo não verificado no 1814)</t>
        </is>
      </c>
      <c r="J3" s="51" t="inlineStr">
        <is>
          <t>R135; captura 103; PN410 §1</t>
        </is>
      </c>
      <c r="K3" s="51" t="inlineStr">
        <is>
          <t>410-0.7</t>
        </is>
      </c>
    </row>
    <row r="4" ht="15" customHeight="1" s="21">
      <c r="A4" s="51" t="inlineStr">
        <is>
          <t>AUD-410-03</t>
        </is>
      </c>
      <c r="B4" s="51" t="inlineStr">
        <is>
          <t>docs/system-map/A1-ghidra/Q-410-0-reference-map.md</t>
        </is>
      </c>
      <c r="C4" s="51" t="inlineStr">
        <is>
          <t>§4</t>
        </is>
      </c>
      <c r="D4" s="51" t="inlineStr">
        <is>
          <t>decompile de SetClockSourceInternal (clk/blank misturados)</t>
        </is>
      </c>
      <c r="E4" s="51" t="inlineStr">
        <is>
          <t>4</t>
        </is>
      </c>
      <c r="F4" s="51" t="inlineStr">
        <is>
          <t>média</t>
        </is>
      </c>
      <c r="G4" s="51" t="inlineStr">
        <is>
          <t>asm 0x14eda: bit 2 escolhe tipo 4 (coax) ou 3 (óptico)</t>
        </is>
      </c>
      <c r="H4" s="51" t="inlineStr">
        <is>
          <t>Resolvido</t>
        </is>
      </c>
      <c r="I4" s="51" t="inlineStr">
        <is>
          <t>§4 reescrito do asm</t>
        </is>
      </c>
      <c r="J4" s="51" t="inlineStr">
        <is>
          <t>R135; captura 103</t>
        </is>
      </c>
      <c r="K4" s="51" t="inlineStr">
        <is>
          <t>410-0.4</t>
        </is>
      </c>
    </row>
    <row r="5" ht="15" customHeight="1" s="21"/>
    <row r="6" ht="32.8" customHeight="1" s="21"/>
    <row r="7" ht="15" customHeight="1" s="21"/>
    <row r="8" ht="22.35" customHeight="1" s="21"/>
    <row r="9" ht="15" customHeight="1" s="21"/>
    <row r="10" ht="15" customHeight="1" s="21"/>
    <row r="11" ht="22.35" customHeight="1" s="21"/>
    <row r="12" ht="22.35" customHeight="1" s="21"/>
    <row r="13" ht="15" customHeight="1" s="21"/>
    <row r="14" ht="15" customHeight="1" s="21"/>
    <row r="15" ht="22.35" customHeight="1" s="21"/>
    <row r="16" ht="22.35" customHeight="1" s="21"/>
    <row r="17" ht="22.35" customHeight="1" s="21"/>
    <row r="18" ht="15" customHeight="1" s="21"/>
    <row r="19" ht="15" customHeight="1" s="21"/>
    <row r="20" ht="22.35" customHeight="1" s="21"/>
    <row r="21" ht="22.35" customHeight="1" s="21"/>
    <row r="22" ht="15" customHeight="1" s="21"/>
    <row r="23" ht="15" customHeight="1" s="21"/>
    <row r="24" ht="15" customHeight="1" s="21"/>
    <row r="25" ht="22.35" customHeight="1" s="21"/>
    <row r="26" ht="15" customHeight="1" s="21"/>
    <row r="27" ht="22.35" customHeight="1" s="21"/>
    <row r="28" ht="22.35" customHeight="1" s="21"/>
    <row r="29" ht="15" customHeight="1" s="21"/>
    <row r="30" ht="22.35" customHeight="1" s="21"/>
    <row r="31" ht="15" customHeight="1" s="21"/>
    <row r="32" ht="15" customHeight="1" s="21"/>
    <row r="33" ht="22.35" customHeight="1" s="21"/>
    <row r="34" ht="15" customHeight="1" s="21"/>
    <row r="35" ht="22.35" customHeight="1" s="21"/>
    <row r="36" ht="22.35" customHeight="1" s="21"/>
    <row r="37" ht="22.35" customHeight="1" s="21"/>
    <row r="38" ht="15" customHeight="1" s="21"/>
    <row r="39" ht="22.35" customHeight="1" s="21"/>
    <row r="40" ht="22.35" customHeight="1" s="21"/>
    <row r="41" ht="22.35" customHeight="1" s="21"/>
    <row r="42" ht="22.35" customHeight="1" s="21"/>
    <row r="43" ht="15" customHeight="1" s="21"/>
    <row r="44" ht="22.35" customHeight="1" s="21"/>
    <row r="45" ht="15" customHeight="1" s="21"/>
    <row r="46" ht="22.35" customHeight="1" s="21"/>
    <row r="47" ht="15" customHeight="1" s="21"/>
    <row r="48" ht="22.35" customHeight="1" s="21"/>
    <row r="49" ht="15" customHeight="1" s="21"/>
    <row r="50" ht="15" customHeight="1" s="21"/>
    <row r="51" ht="15" customHeight="1" s="21"/>
    <row r="52" ht="22.35" customHeight="1" s="21"/>
    <row r="53" ht="15" customHeight="1" s="21"/>
    <row r="54" ht="22.35" customHeight="1" s="21"/>
    <row r="55" ht="22.35" customHeight="1" s="21"/>
    <row r="56" ht="22.35" customHeight="1" s="21"/>
    <row r="57" ht="15" customHeight="1" s="21"/>
    <row r="58" ht="15" customHeight="1" s="21"/>
    <row r="59" ht="22.35" customHeight="1" s="21"/>
    <row r="60" ht="22.35" customHeight="1" s="21"/>
    <row r="61" ht="22.35" customHeight="1" s="21"/>
    <row r="62" ht="15" customHeight="1" s="21"/>
    <row r="63" ht="22.35" customHeight="1" s="21"/>
    <row r="64" ht="22.35" customHeight="1" s="21"/>
    <row r="65" ht="22.35" customHeight="1" s="21"/>
    <row r="66" ht="15" customHeight="1" s="21"/>
    <row r="67" ht="15" customHeight="1" s="21"/>
    <row r="68" ht="22.35" customHeight="1" s="21"/>
    <row r="69" ht="22.35" customHeight="1" s="21"/>
    <row r="70" ht="22.35" customHeight="1" s="21"/>
    <row r="71" ht="15" customHeight="1" s="21"/>
    <row r="72" ht="15" customHeight="1" s="21"/>
    <row r="73" ht="15" customHeight="1" s="21"/>
    <row r="74" ht="15" customHeight="1" s="21"/>
    <row r="75" ht="15" customHeight="1" s="21"/>
    <row r="76" ht="15" customHeight="1" s="21"/>
    <row r="77" ht="15" customHeight="1" s="21"/>
    <row r="78" ht="15" customHeight="1" s="21"/>
    <row r="79" ht="15" customHeight="1" s="21"/>
    <row r="80" ht="15" customHeight="1" s="21"/>
    <row r="81" ht="15" customHeight="1" s="21"/>
    <row r="82" ht="15" customHeight="1" s="21"/>
    <row r="83" ht="43.25" customHeight="1" s="21"/>
    <row r="84" ht="43.25" customHeight="1" s="21"/>
    <row r="85" ht="43.25" customHeight="1" s="21"/>
    <row r="86" ht="43.25" customHeight="1" s="21"/>
    <row r="87" ht="43.25" customHeight="1" s="21"/>
    <row r="88" ht="43.25" customHeight="1" s="21"/>
    <row r="89" ht="43.25" customHeight="1" s="21"/>
    <row r="90" ht="43.25" customHeight="1" s="21"/>
    <row r="91" ht="22.35" customHeight="1" s="21"/>
    <row r="92" ht="22.35" customHeight="1" s="21"/>
    <row r="93" ht="22.35" customHeight="1" s="21"/>
    <row r="94" ht="22.35" customHeight="1" s="21"/>
    <row r="95" ht="22.35" customHeight="1" s="21"/>
    <row r="96" ht="22.35" customHeight="1" s="21"/>
    <row r="97" ht="22.35" customHeight="1" s="21"/>
    <row r="98" ht="15" customHeight="1" s="21"/>
    <row r="99" ht="15" customHeight="1" s="21"/>
    <row r="100" ht="22.35" customHeight="1" s="21"/>
    <row r="101" ht="22.35" customHeight="1" s="21"/>
    <row r="102" ht="15" customHeight="1" s="21"/>
    <row r="103" ht="15" customHeight="1" s="21"/>
    <row r="104" ht="22.35" customHeight="1" s="21"/>
    <row r="105" ht="15" customHeight="1" s="21"/>
    <row r="106" ht="22.35" customHeight="1" s="21"/>
    <row r="107" ht="15" customHeight="1" s="21"/>
    <row r="108" ht="22.35" customHeight="1" s="21"/>
    <row r="109" ht="15" customHeight="1" s="21"/>
    <row r="110" ht="15" customHeight="1" s="21"/>
    <row r="111" ht="32.8" customHeight="1" s="21"/>
    <row r="112" ht="22.35" customHeight="1" s="21"/>
    <row r="113" ht="15" customHeight="1" s="21"/>
    <row r="114" ht="15" customHeight="1" s="21"/>
    <row r="115" ht="22.35" customHeight="1" s="21"/>
    <row r="116" ht="15" customHeight="1" s="21"/>
    <row r="117" ht="22.35" customHeight="1" s="21"/>
    <row r="118" ht="15" customHeight="1" s="21"/>
    <row r="119" ht="15" customHeight="1" s="21"/>
    <row r="120" ht="22.35" customHeight="1" s="21"/>
    <row r="121" ht="22.35" customHeight="1" s="21"/>
    <row r="122" ht="22.35" customHeight="1" s="21"/>
    <row r="123" ht="22.35" customHeight="1" s="21"/>
    <row r="124" ht="22.35" customHeight="1" s="21"/>
    <row r="125" ht="22.35" customHeight="1" s="21"/>
    <row r="126" ht="22.35" customHeight="1" s="21"/>
    <row r="127" ht="22.35" customHeight="1" s="21"/>
    <row r="129" ht="15" customHeight="1" s="21"/>
  </sheetData>
  <autoFilter ref="A1:K10"/>
  <conditionalFormatting sqref="H2:H500">
    <cfRule type="cellIs" priority="1" operator="equal" dxfId="13">
      <formula>"Resolvido"</formula>
    </cfRule>
    <cfRule type="cellIs" priority="2" operator="equal" dxfId="14">
      <formula>"Rotulado"</formula>
    </cfRule>
    <cfRule type="cellIs" priority="3" operator="equal" dxfId="15">
      <formula>"Aberto"</formula>
    </cfRule>
  </conditionalFormatting>
  <dataValidations count="2">
    <dataValidation sqref="H2:H500" showDropDown="0" showInputMessage="0" showErrorMessage="0" allowBlank="1" type="list">
      <formula1>"Aberto,Rotulado,Resolvido,Não procede"</formula1>
    </dataValidation>
    <dataValidation sqref="F2:F500" showDropDown="0" showInputMessage="0" showErrorMessage="0" allowBlank="1" type="list">
      <formula1>"alta,média,baixa"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1" min="1" max="2"/>
    <col width="10" customWidth="1" style="51" min="3" max="3"/>
    <col width="25" customWidth="1" style="51" min="4" max="6"/>
  </cols>
  <sheetData>
    <row r="1" ht="15" customHeight="1" s="21">
      <c r="A1" s="71" t="inlineStr">
        <is>
          <t>Legenda e método de pontuação</t>
        </is>
      </c>
    </row>
    <row r="3" ht="15" customHeight="1" s="21">
      <c r="A3" s="59" t="inlineStr">
        <is>
          <t>Pesos da nota de confiança (edite os valores azuis; a coluna L da aba Itens recalcula)</t>
        </is>
      </c>
    </row>
    <row r="4" ht="15" customHeight="1" s="21">
      <c r="A4" s="62" t="inlineStr">
        <is>
          <t>Byte-level confirmado = Sim</t>
        </is>
      </c>
      <c r="C4" s="72" t="n">
        <v>3</v>
      </c>
    </row>
    <row r="5" ht="15" customHeight="1" s="21">
      <c r="A5" s="62" t="inlineStr">
        <is>
          <t>Byte-level confirmado = Parcial</t>
        </is>
      </c>
      <c r="C5" s="72" t="n">
        <v>1.5</v>
      </c>
    </row>
    <row r="6" ht="15" customHeight="1" s="21">
      <c r="A6" s="62" t="inlineStr">
        <is>
          <t>Hardware live = Sim</t>
        </is>
      </c>
      <c r="C6" s="72" t="n">
        <v>3</v>
      </c>
    </row>
    <row r="7" ht="15" customHeight="1" s="21">
      <c r="A7" s="62" t="inlineStr">
        <is>
          <t>Hardware live = Parcial</t>
        </is>
      </c>
      <c r="C7" s="72" t="n">
        <v>1.5</v>
      </c>
    </row>
    <row r="8" ht="15" customHeight="1" s="21">
      <c r="A8" s="62" t="inlineStr">
        <is>
          <t>Ferramenta = otool + Ghidra</t>
        </is>
      </c>
      <c r="C8" s="72" t="n">
        <v>2</v>
      </c>
    </row>
    <row r="9" ht="15" customHeight="1" s="21">
      <c r="A9" s="62" t="inlineStr">
        <is>
          <t>Ferramenta = otool, Ghidra ou Outro binário</t>
        </is>
      </c>
      <c r="C9" s="72" t="n">
        <v>1</v>
      </c>
    </row>
    <row r="10" ht="15" customHeight="1" s="21">
      <c r="A10" s="62" t="inlineStr">
        <is>
          <t>Por fonte adicional (a partir da 2ª)</t>
        </is>
      </c>
      <c r="C10" s="72" t="n">
        <v>1</v>
      </c>
    </row>
    <row r="11" ht="15" customHeight="1" s="21">
      <c r="A11" s="62" t="inlineStr">
        <is>
          <t>Máximo de pontos por cruzamento</t>
        </is>
      </c>
      <c r="C11" s="72" t="n">
        <v>2</v>
      </c>
    </row>
    <row r="12" ht="15" customHeight="1" s="21">
      <c r="A12" s="62" t="inlineStr">
        <is>
          <t>Teto se Especulativo = Sim</t>
        </is>
      </c>
      <c r="C12" s="72" t="n">
        <v>3</v>
      </c>
    </row>
    <row r="13" ht="15" customHeight="1" s="21">
      <c r="A13" s="62" t="inlineStr">
        <is>
          <t>Teto se Especulativo = Parcial</t>
        </is>
      </c>
      <c r="C13" s="72" t="n">
        <v>6</v>
      </c>
    </row>
    <row r="16" ht="15" customHeight="1" s="21">
      <c r="A16" s="59" t="inlineStr">
        <is>
          <t>Fórmula</t>
        </is>
      </c>
    </row>
    <row r="17" ht="42" customHeight="1" s="21">
      <c r="A17" s="73" t="inlineStr">
        <is>
          <t>Base = byte + live + ferramenta + MIN(máx. cruzamento, (Nº de fontes − 1) × peso por fonte), limitada a 10. Depois aplica o teto do Especulativo. A nota mede o quanto o item está ancorado no binário v1.11.x e no hardware, não o quanto ele importa.</t>
        </is>
      </c>
    </row>
    <row r="19" ht="15" customHeight="1" s="21">
      <c r="A19" s="59" t="inlineStr">
        <is>
          <t>Colunas</t>
        </is>
      </c>
    </row>
    <row r="20" ht="30" customHeight="1" s="21">
      <c r="A20" s="59" t="inlineStr">
        <is>
          <t>ID</t>
        </is>
      </c>
      <c r="B20" s="74" t="inlineStr">
        <is>
          <t>Código do item: AP-0.n.k = tarefa AP-0.n do plano, item k. Parte = a tarefa; Sub-ramo = 'AP-0'.</t>
        </is>
      </c>
    </row>
    <row r="21" ht="30" customHeight="1" s="21">
      <c r="A21" s="59" t="inlineStr">
        <is>
          <t>Byte-level confirmado</t>
        </is>
      </c>
      <c r="B21" s="74" t="inlineStr">
        <is>
          <t>Sim = lido no nível de instrução ou byte (asm, bytes da fatia, vtable, plist, header do SDK). Parcial = decompile Ghidra ou leitura indireta. Não = sem leitura do binário.</t>
        </is>
      </c>
    </row>
    <row r="22" ht="30" customHeight="1" s="21">
      <c r="A22" s="59" t="inlineStr">
        <is>
          <t>Hardware live</t>
        </is>
      </c>
      <c r="B22" s="74" t="inlineStr">
        <is>
          <t>Sim = observado em hardware real (capturas B5 no SL v1.9, logs de pânico do build PC, experimentos registrados). Parcial = observação indireta ou só do clone antigo.</t>
        </is>
      </c>
    </row>
    <row r="23" ht="30" customHeight="1" s="21">
      <c r="A23" s="59" t="inlineStr">
        <is>
          <t>Ferramenta</t>
        </is>
      </c>
      <c r="B23" s="74" t="inlineStr">
        <is>
          <t>otool + Ghidra / otool / Ghidra / Outro binário (nm, plist, bytes via python, SDK) / Nenhum.</t>
        </is>
      </c>
    </row>
    <row r="24" ht="30" customHeight="1" s="21">
      <c r="A24" s="59" t="inlineStr">
        <is>
          <t>Especulativo</t>
        </is>
      </c>
      <c r="B24" s="74" t="inlineStr">
        <is>
          <t>Sim = hipótese sem prova; Parcial = parte do item é inferência.</t>
        </is>
      </c>
    </row>
    <row r="25" ht="30" customHeight="1" s="21">
      <c r="A25" s="59" t="inlineStr">
        <is>
          <t>Fontes / cruzamentos</t>
        </is>
      </c>
      <c r="B25" s="74" t="inlineStr">
        <is>
          <t>Lista separada por ';' de evidências independentes. A coluna 'Nº de fontes' conta automaticamente.</t>
        </is>
      </c>
    </row>
    <row r="26" ht="30" customHeight="1" s="21">
      <c r="A26" s="59" t="inlineStr">
        <is>
          <t>Status documental</t>
        </is>
      </c>
      <c r="B26" s="74" t="inlineStr">
        <is>
          <t>Consistente / Corrigido (com bloco Correction) / Correção pendente (audit: algum .md ainda tem a afirmação errada) / Aberto / Não auditado.</t>
        </is>
      </c>
    </row>
    <row r="27" ht="30" customHeight="1" s="21">
      <c r="A27" s="59" t="inlineStr">
        <is>
          <t>Flags do audit</t>
        </is>
      </c>
      <c r="B27" s="74" t="inlineStr">
        <is>
          <t>Linhas citadas no PROVENANCE-AUDIT.md; detalhe na aba Flags_auditoria.</t>
        </is>
      </c>
    </row>
    <row r="29" ht="15" customHeight="1" s="21">
      <c r="A29" s="59" t="inlineStr">
        <is>
          <t>Fontes</t>
        </is>
      </c>
    </row>
    <row r="30" ht="42" customHeight="1" s="21">
      <c r="A30" s="73" t="inlineStr">
        <is>
          <t>docs/audiophile-manual-reference.md; docs/BUILD_AUDIOPHILE_PLAN_v3.md; docs/system-map/A1-ghidra/ghidra-exports/decomp/ (tag ap0, 2026-10-19); otool-exports/mafw.asm; B5-sl-dtrace-truth/captures/89, 89b, 90 (SL v1.9 + Audiophile); _extracted/kext Info.plist; _refs/snd-firewire-ctl-services, _refs/linux-snd-bebob, _refs/ffado.</t>
        </is>
      </c>
    </row>
    <row r="32">
      <c r="A32" s="51" t="inlineStr">
        <is>
          <t>Aba Build</t>
        </is>
      </c>
      <c r="B32" s="51" t="inlineStr">
        <is>
          <t>Uma linha por tarefa do docs/BUILD_AUDIOPHILE_PLAN_v3.md (AP-n.m; Pacote = fase 0–8) e uma por decisão pendente (DEC-Qn). Status: Não iniciado / Em andamento / Concluído / Aguarda o usuário / Cancelado (corte de escopo). Notas datadas [AAAA-MM-DD].</t>
        </is>
      </c>
    </row>
  </sheetData>
  <mergeCells count="10">
    <mergeCell ref="B21:F21"/>
    <mergeCell ref="B24:F24"/>
    <mergeCell ref="B20:F20"/>
    <mergeCell ref="B25:F25"/>
    <mergeCell ref="A17:F17"/>
    <mergeCell ref="B23:F23"/>
    <mergeCell ref="B22:F22"/>
    <mergeCell ref="A30:F30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2026-10-14T13:36:08Z</dcterms:created>
  <dcterms:modified xsi:type="dcterms:W3CDTF">2026-10-27T02:13:48Z</dcterms:modified>
  <cp:revision>0</cp:revision>
</cp:coreProperties>
</file>